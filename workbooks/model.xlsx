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dhaya\.codex\.chatgpt-projects\g-p-6ac77210535c8191a397c759e3931ee1\output\retail-finance-lab\workbooks\"/>
    </mc:Choice>
  </mc:AlternateContent>
  <xr:revisionPtr revIDLastSave="0" documentId="13_ncr:1_{D49A75CB-CA29-4019-AA65-04F4180EE5D4}" xr6:coauthVersionLast="47" xr6:coauthVersionMax="47" xr10:uidLastSave="{00000000-0000-0000-0000-000000000000}"/>
  <bookViews>
    <workbookView xWindow="-110" yWindow="-110" windowWidth="25100" windowHeight="16220" xr2:uid="{00000000-000D-0000-FFFF-FFFF00000000}"/>
  </bookViews>
  <sheets>
    <sheet name="Summary" sheetId="1" r:id="rId1"/>
    <sheet name="Assumptions" sheetId="2" r:id="rId2"/>
    <sheet name="Forecast" sheetId="3" r:id="rId3"/>
    <sheet name="Actuals" sheetId="4" r:id="rId4"/>
    <sheet name="Variance bridge" sheetId="5" r:id="rId5"/>
    <sheet name="Segments" sheetId="6" r:id="rId6"/>
    <sheet name="Checks" sheetId="7" r:id="rId7"/>
    <sheet name="Pivot review" sheetId="8" r:id="rId8"/>
  </sheets>
  <definedNames>
    <definedName name="_xlnm.Print_Area" localSheetId="0">Summary!$C$2:$O$19</definedName>
  </definedNames>
  <calcPr calcId="191029"/>
  <pivotCaches>
    <pivotCache cacheId="11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7" l="1"/>
  <c r="O176" i="5"/>
  <c r="N176" i="5"/>
  <c r="M176" i="5"/>
  <c r="L176" i="5"/>
  <c r="O175" i="5"/>
  <c r="N175" i="5"/>
  <c r="M175" i="5"/>
  <c r="L175" i="5"/>
  <c r="O174" i="5"/>
  <c r="N174" i="5"/>
  <c r="M174" i="5"/>
  <c r="L174" i="5"/>
  <c r="O173" i="5"/>
  <c r="N173" i="5"/>
  <c r="M173" i="5"/>
  <c r="L173" i="5"/>
  <c r="O172" i="5"/>
  <c r="N172" i="5"/>
  <c r="M172" i="5"/>
  <c r="L172" i="5"/>
  <c r="O171" i="5"/>
  <c r="N171" i="5"/>
  <c r="M171" i="5"/>
  <c r="L171" i="5"/>
  <c r="O170" i="5"/>
  <c r="N170" i="5"/>
  <c r="M170" i="5"/>
  <c r="L170" i="5"/>
  <c r="O169" i="5"/>
  <c r="N169" i="5"/>
  <c r="M169" i="5"/>
  <c r="L169" i="5"/>
  <c r="O168" i="5"/>
  <c r="N168" i="5"/>
  <c r="M168" i="5"/>
  <c r="L168" i="5"/>
  <c r="O167" i="5"/>
  <c r="N167" i="5"/>
  <c r="M167" i="5"/>
  <c r="L167" i="5"/>
  <c r="O166" i="5"/>
  <c r="N166" i="5"/>
  <c r="M166" i="5"/>
  <c r="L166" i="5"/>
  <c r="O165" i="5"/>
  <c r="N165" i="5"/>
  <c r="M165" i="5"/>
  <c r="L165" i="5"/>
  <c r="O164" i="5"/>
  <c r="N164" i="5"/>
  <c r="M164" i="5"/>
  <c r="L164" i="5"/>
  <c r="O163" i="5"/>
  <c r="N163" i="5"/>
  <c r="M163" i="5"/>
  <c r="L163" i="5"/>
  <c r="O162" i="5"/>
  <c r="N162" i="5"/>
  <c r="M162" i="5"/>
  <c r="L162" i="5"/>
  <c r="O161" i="5"/>
  <c r="N161" i="5"/>
  <c r="M161" i="5"/>
  <c r="L161" i="5"/>
  <c r="O160" i="5"/>
  <c r="N160" i="5"/>
  <c r="M160" i="5"/>
  <c r="L160" i="5"/>
  <c r="O159" i="5"/>
  <c r="N159" i="5"/>
  <c r="M159" i="5"/>
  <c r="L159" i="5"/>
  <c r="O158" i="5"/>
  <c r="N158" i="5"/>
  <c r="M158" i="5"/>
  <c r="L158" i="5"/>
  <c r="O157" i="5"/>
  <c r="N157" i="5"/>
  <c r="M157" i="5"/>
  <c r="L157" i="5"/>
  <c r="O156" i="5"/>
  <c r="N156" i="5"/>
  <c r="M156" i="5"/>
  <c r="L156" i="5"/>
  <c r="O155" i="5"/>
  <c r="N155" i="5"/>
  <c r="M155" i="5"/>
  <c r="L155" i="5"/>
  <c r="O154" i="5"/>
  <c r="N154" i="5"/>
  <c r="M154" i="5"/>
  <c r="L154" i="5"/>
  <c r="O153" i="5"/>
  <c r="N153" i="5"/>
  <c r="M153" i="5"/>
  <c r="L153" i="5"/>
  <c r="O152" i="5"/>
  <c r="N152" i="5"/>
  <c r="M152" i="5"/>
  <c r="L152" i="5"/>
  <c r="O151" i="5"/>
  <c r="N151" i="5"/>
  <c r="M151" i="5"/>
  <c r="L151" i="5"/>
  <c r="O150" i="5"/>
  <c r="N150" i="5"/>
  <c r="M150" i="5"/>
  <c r="L150" i="5"/>
  <c r="O149" i="5"/>
  <c r="N149" i="5"/>
  <c r="M149" i="5"/>
  <c r="L149" i="5"/>
  <c r="O148" i="5"/>
  <c r="N148" i="5"/>
  <c r="M148" i="5"/>
  <c r="L148" i="5"/>
  <c r="O147" i="5"/>
  <c r="N147" i="5"/>
  <c r="M147" i="5"/>
  <c r="L147" i="5"/>
  <c r="O146" i="5"/>
  <c r="N146" i="5"/>
  <c r="M146" i="5"/>
  <c r="L146" i="5"/>
  <c r="O145" i="5"/>
  <c r="N145" i="5"/>
  <c r="M145" i="5"/>
  <c r="L145" i="5"/>
  <c r="O144" i="5"/>
  <c r="N144" i="5"/>
  <c r="M144" i="5"/>
  <c r="L144" i="5"/>
  <c r="O143" i="5"/>
  <c r="N143" i="5"/>
  <c r="M143" i="5"/>
  <c r="L143" i="5"/>
  <c r="O142" i="5"/>
  <c r="N142" i="5"/>
  <c r="M142" i="5"/>
  <c r="L142" i="5"/>
  <c r="O141" i="5"/>
  <c r="N141" i="5"/>
  <c r="M141" i="5"/>
  <c r="L141" i="5"/>
  <c r="O140" i="5"/>
  <c r="N140" i="5"/>
  <c r="M140" i="5"/>
  <c r="L140" i="5"/>
  <c r="O139" i="5"/>
  <c r="N139" i="5"/>
  <c r="M139" i="5"/>
  <c r="L139" i="5"/>
  <c r="O138" i="5"/>
  <c r="N138" i="5"/>
  <c r="M138" i="5"/>
  <c r="L138" i="5"/>
  <c r="O137" i="5"/>
  <c r="N137" i="5"/>
  <c r="M137" i="5"/>
  <c r="L137" i="5"/>
  <c r="O136" i="5"/>
  <c r="N136" i="5"/>
  <c r="M136" i="5"/>
  <c r="L136" i="5"/>
  <c r="O135" i="5"/>
  <c r="N135" i="5"/>
  <c r="M135" i="5"/>
  <c r="L135" i="5"/>
  <c r="O134" i="5"/>
  <c r="N134" i="5"/>
  <c r="M134" i="5"/>
  <c r="L134" i="5"/>
  <c r="O133" i="5"/>
  <c r="N133" i="5"/>
  <c r="M133" i="5"/>
  <c r="L133" i="5"/>
  <c r="O132" i="5"/>
  <c r="N132" i="5"/>
  <c r="M132" i="5"/>
  <c r="L132" i="5"/>
  <c r="O131" i="5"/>
  <c r="N131" i="5"/>
  <c r="M131" i="5"/>
  <c r="L131" i="5"/>
  <c r="O130" i="5"/>
  <c r="N130" i="5"/>
  <c r="M130" i="5"/>
  <c r="L130" i="5"/>
  <c r="O129" i="5"/>
  <c r="N129" i="5"/>
  <c r="M129" i="5"/>
  <c r="L129" i="5"/>
  <c r="O128" i="5"/>
  <c r="N128" i="5"/>
  <c r="M128" i="5"/>
  <c r="L128" i="5"/>
  <c r="O127" i="5"/>
  <c r="N127" i="5"/>
  <c r="M127" i="5"/>
  <c r="L127" i="5"/>
  <c r="O126" i="5"/>
  <c r="N126" i="5"/>
  <c r="M126" i="5"/>
  <c r="L126" i="5"/>
  <c r="O125" i="5"/>
  <c r="N125" i="5"/>
  <c r="M125" i="5"/>
  <c r="L125" i="5"/>
  <c r="O124" i="5"/>
  <c r="N124" i="5"/>
  <c r="M124" i="5"/>
  <c r="L124" i="5"/>
  <c r="O123" i="5"/>
  <c r="N123" i="5"/>
  <c r="M123" i="5"/>
  <c r="L123" i="5"/>
  <c r="O122" i="5"/>
  <c r="N122" i="5"/>
  <c r="M122" i="5"/>
  <c r="L122" i="5"/>
  <c r="O121" i="5"/>
  <c r="N121" i="5"/>
  <c r="M121" i="5"/>
  <c r="L121" i="5"/>
  <c r="O120" i="5"/>
  <c r="N120" i="5"/>
  <c r="M120" i="5"/>
  <c r="L120" i="5"/>
  <c r="O119" i="5"/>
  <c r="N119" i="5"/>
  <c r="M119" i="5"/>
  <c r="L119" i="5"/>
  <c r="O118" i="5"/>
  <c r="N118" i="5"/>
  <c r="M118" i="5"/>
  <c r="L118" i="5"/>
  <c r="O117" i="5"/>
  <c r="N117" i="5"/>
  <c r="M117" i="5"/>
  <c r="L117" i="5"/>
  <c r="O116" i="5"/>
  <c r="N116" i="5"/>
  <c r="M116" i="5"/>
  <c r="L116" i="5"/>
  <c r="O115" i="5"/>
  <c r="N115" i="5"/>
  <c r="M115" i="5"/>
  <c r="L115" i="5"/>
  <c r="O114" i="5"/>
  <c r="N114" i="5"/>
  <c r="M114" i="5"/>
  <c r="L114" i="5"/>
  <c r="O113" i="5"/>
  <c r="N113" i="5"/>
  <c r="M113" i="5"/>
  <c r="L113" i="5"/>
  <c r="O112" i="5"/>
  <c r="N112" i="5"/>
  <c r="M112" i="5"/>
  <c r="L112" i="5"/>
  <c r="O111" i="5"/>
  <c r="N111" i="5"/>
  <c r="M111" i="5"/>
  <c r="L111" i="5"/>
  <c r="O110" i="5"/>
  <c r="N110" i="5"/>
  <c r="M110" i="5"/>
  <c r="L110" i="5"/>
  <c r="O109" i="5"/>
  <c r="N109" i="5"/>
  <c r="M109" i="5"/>
  <c r="L109" i="5"/>
  <c r="O108" i="5"/>
  <c r="N108" i="5"/>
  <c r="M108" i="5"/>
  <c r="L108" i="5"/>
  <c r="O107" i="5"/>
  <c r="N107" i="5"/>
  <c r="M107" i="5"/>
  <c r="L107" i="5"/>
  <c r="O106" i="5"/>
  <c r="N106" i="5"/>
  <c r="M106" i="5"/>
  <c r="L106" i="5"/>
  <c r="O105" i="5"/>
  <c r="N105" i="5"/>
  <c r="M105" i="5"/>
  <c r="L105" i="5"/>
  <c r="O104" i="5"/>
  <c r="N104" i="5"/>
  <c r="M104" i="5"/>
  <c r="L104" i="5"/>
  <c r="O103" i="5"/>
  <c r="N103" i="5"/>
  <c r="M103" i="5"/>
  <c r="L103" i="5"/>
  <c r="O102" i="5"/>
  <c r="N102" i="5"/>
  <c r="M102" i="5"/>
  <c r="L102" i="5"/>
  <c r="O101" i="5"/>
  <c r="N101" i="5"/>
  <c r="M101" i="5"/>
  <c r="L101" i="5"/>
  <c r="O100" i="5"/>
  <c r="N100" i="5"/>
  <c r="M100" i="5"/>
  <c r="L100" i="5"/>
  <c r="O99" i="5"/>
  <c r="N99" i="5"/>
  <c r="M99" i="5"/>
  <c r="L99" i="5"/>
  <c r="O98" i="5"/>
  <c r="N98" i="5"/>
  <c r="M98" i="5"/>
  <c r="L98" i="5"/>
  <c r="O97" i="5"/>
  <c r="N97" i="5"/>
  <c r="M97" i="5"/>
  <c r="L97" i="5"/>
  <c r="O96" i="5"/>
  <c r="N96" i="5"/>
  <c r="M96" i="5"/>
  <c r="L96" i="5"/>
  <c r="O95" i="5"/>
  <c r="N95" i="5"/>
  <c r="M95" i="5"/>
  <c r="L95" i="5"/>
  <c r="O94" i="5"/>
  <c r="N94" i="5"/>
  <c r="M94" i="5"/>
  <c r="L94" i="5"/>
  <c r="O93" i="5"/>
  <c r="N93" i="5"/>
  <c r="M93" i="5"/>
  <c r="L93" i="5"/>
  <c r="O92" i="5"/>
  <c r="N92" i="5"/>
  <c r="M92" i="5"/>
  <c r="L92" i="5"/>
  <c r="O91" i="5"/>
  <c r="N91" i="5"/>
  <c r="M91" i="5"/>
  <c r="L91" i="5"/>
  <c r="O90" i="5"/>
  <c r="N90" i="5"/>
  <c r="M90" i="5"/>
  <c r="L90" i="5"/>
  <c r="O89" i="5"/>
  <c r="N89" i="5"/>
  <c r="M89" i="5"/>
  <c r="L89" i="5"/>
  <c r="O88" i="5"/>
  <c r="N88" i="5"/>
  <c r="M88" i="5"/>
  <c r="L88" i="5"/>
  <c r="O87" i="5"/>
  <c r="N87" i="5"/>
  <c r="M87" i="5"/>
  <c r="L87" i="5"/>
  <c r="O86" i="5"/>
  <c r="N86" i="5"/>
  <c r="M86" i="5"/>
  <c r="L86" i="5"/>
  <c r="O85" i="5"/>
  <c r="N85" i="5"/>
  <c r="M85" i="5"/>
  <c r="L85" i="5"/>
  <c r="O84" i="5"/>
  <c r="N84" i="5"/>
  <c r="M84" i="5"/>
  <c r="L84" i="5"/>
  <c r="O83" i="5"/>
  <c r="N83" i="5"/>
  <c r="M83" i="5"/>
  <c r="L83" i="5"/>
  <c r="O82" i="5"/>
  <c r="N82" i="5"/>
  <c r="M82" i="5"/>
  <c r="L82" i="5"/>
  <c r="O81" i="5"/>
  <c r="N81" i="5"/>
  <c r="M81" i="5"/>
  <c r="L81" i="5"/>
  <c r="O80" i="5"/>
  <c r="N80" i="5"/>
  <c r="M80" i="5"/>
  <c r="L80" i="5"/>
  <c r="O79" i="5"/>
  <c r="N79" i="5"/>
  <c r="M79" i="5"/>
  <c r="L79" i="5"/>
  <c r="O78" i="5"/>
  <c r="N78" i="5"/>
  <c r="M78" i="5"/>
  <c r="L78" i="5"/>
  <c r="O77" i="5"/>
  <c r="N77" i="5"/>
  <c r="M77" i="5"/>
  <c r="L77" i="5"/>
  <c r="O76" i="5"/>
  <c r="N76" i="5"/>
  <c r="M76" i="5"/>
  <c r="L76" i="5"/>
  <c r="O75" i="5"/>
  <c r="N75" i="5"/>
  <c r="M75" i="5"/>
  <c r="L75" i="5"/>
  <c r="O74" i="5"/>
  <c r="N74" i="5"/>
  <c r="M74" i="5"/>
  <c r="L74" i="5"/>
  <c r="O73" i="5"/>
  <c r="N73" i="5"/>
  <c r="M73" i="5"/>
  <c r="L73" i="5"/>
  <c r="O72" i="5"/>
  <c r="N72" i="5"/>
  <c r="M72" i="5"/>
  <c r="L72" i="5"/>
  <c r="O71" i="5"/>
  <c r="N71" i="5"/>
  <c r="M71" i="5"/>
  <c r="L71" i="5"/>
  <c r="O70" i="5"/>
  <c r="N70" i="5"/>
  <c r="M70" i="5"/>
  <c r="L70" i="5"/>
  <c r="O69" i="5"/>
  <c r="N69" i="5"/>
  <c r="M69" i="5"/>
  <c r="L69" i="5"/>
  <c r="O68" i="5"/>
  <c r="N68" i="5"/>
  <c r="M68" i="5"/>
  <c r="L68" i="5"/>
  <c r="O67" i="5"/>
  <c r="N67" i="5"/>
  <c r="M67" i="5"/>
  <c r="L67" i="5"/>
  <c r="O66" i="5"/>
  <c r="N66" i="5"/>
  <c r="M66" i="5"/>
  <c r="L66" i="5"/>
  <c r="O65" i="5"/>
  <c r="N65" i="5"/>
  <c r="M65" i="5"/>
  <c r="L65" i="5"/>
  <c r="O64" i="5"/>
  <c r="N64" i="5"/>
  <c r="M64" i="5"/>
  <c r="L64" i="5"/>
  <c r="O63" i="5"/>
  <c r="N63" i="5"/>
  <c r="M63" i="5"/>
  <c r="L63" i="5"/>
  <c r="O62" i="5"/>
  <c r="N62" i="5"/>
  <c r="M62" i="5"/>
  <c r="L62" i="5"/>
  <c r="O61" i="5"/>
  <c r="N61" i="5"/>
  <c r="M61" i="5"/>
  <c r="L61" i="5"/>
  <c r="O60" i="5"/>
  <c r="N60" i="5"/>
  <c r="M60" i="5"/>
  <c r="L60" i="5"/>
  <c r="O59" i="5"/>
  <c r="N59" i="5"/>
  <c r="M59" i="5"/>
  <c r="L59" i="5"/>
  <c r="O58" i="5"/>
  <c r="N58" i="5"/>
  <c r="M58" i="5"/>
  <c r="L58" i="5"/>
  <c r="O57" i="5"/>
  <c r="N57" i="5"/>
  <c r="M57" i="5"/>
  <c r="L57" i="5"/>
  <c r="O56" i="5"/>
  <c r="N56" i="5"/>
  <c r="M56" i="5"/>
  <c r="L56" i="5"/>
  <c r="O55" i="5"/>
  <c r="N55" i="5"/>
  <c r="M55" i="5"/>
  <c r="L55" i="5"/>
  <c r="O54" i="5"/>
  <c r="N54" i="5"/>
  <c r="M54" i="5"/>
  <c r="L54" i="5"/>
  <c r="O53" i="5"/>
  <c r="N53" i="5"/>
  <c r="M53" i="5"/>
  <c r="L53" i="5"/>
  <c r="O52" i="5"/>
  <c r="N52" i="5"/>
  <c r="M52" i="5"/>
  <c r="L52" i="5"/>
  <c r="O51" i="5"/>
  <c r="N51" i="5"/>
  <c r="M51" i="5"/>
  <c r="L51" i="5"/>
  <c r="O50" i="5"/>
  <c r="N50" i="5"/>
  <c r="M50" i="5"/>
  <c r="L50" i="5"/>
  <c r="O49" i="5"/>
  <c r="N49" i="5"/>
  <c r="M49" i="5"/>
  <c r="L49" i="5"/>
  <c r="O48" i="5"/>
  <c r="N48" i="5"/>
  <c r="M48" i="5"/>
  <c r="L48" i="5"/>
  <c r="O47" i="5"/>
  <c r="N47" i="5"/>
  <c r="M47" i="5"/>
  <c r="L47" i="5"/>
  <c r="O46" i="5"/>
  <c r="N46" i="5"/>
  <c r="M46" i="5"/>
  <c r="L46" i="5"/>
  <c r="O45" i="5"/>
  <c r="N45" i="5"/>
  <c r="M45" i="5"/>
  <c r="L45" i="5"/>
  <c r="O44" i="5"/>
  <c r="N44" i="5"/>
  <c r="M44" i="5"/>
  <c r="L44" i="5"/>
  <c r="O43" i="5"/>
  <c r="N43" i="5"/>
  <c r="M43" i="5"/>
  <c r="L43" i="5"/>
  <c r="O42" i="5"/>
  <c r="N42" i="5"/>
  <c r="M42" i="5"/>
  <c r="L42" i="5"/>
  <c r="O41" i="5"/>
  <c r="N41" i="5"/>
  <c r="M41" i="5"/>
  <c r="L41" i="5"/>
  <c r="O40" i="5"/>
  <c r="N40" i="5"/>
  <c r="M40" i="5"/>
  <c r="L40" i="5"/>
  <c r="O39" i="5"/>
  <c r="N39" i="5"/>
  <c r="M39" i="5"/>
  <c r="L39" i="5"/>
  <c r="O38" i="5"/>
  <c r="N38" i="5"/>
  <c r="M38" i="5"/>
  <c r="L38" i="5"/>
  <c r="O37" i="5"/>
  <c r="N37" i="5"/>
  <c r="M37" i="5"/>
  <c r="L37" i="5"/>
  <c r="O36" i="5"/>
  <c r="N36" i="5"/>
  <c r="M36" i="5"/>
  <c r="L36" i="5"/>
  <c r="O35" i="5"/>
  <c r="N35" i="5"/>
  <c r="M35" i="5"/>
  <c r="L35" i="5"/>
  <c r="O34" i="5"/>
  <c r="N34" i="5"/>
  <c r="M34" i="5"/>
  <c r="L34" i="5"/>
  <c r="O33" i="5"/>
  <c r="N33" i="5"/>
  <c r="M33" i="5"/>
  <c r="L33" i="5"/>
  <c r="O32" i="5"/>
  <c r="N32" i="5"/>
  <c r="M32" i="5"/>
  <c r="L32" i="5"/>
  <c r="O31" i="5"/>
  <c r="N31" i="5"/>
  <c r="M31" i="5"/>
  <c r="L31" i="5"/>
  <c r="O30" i="5"/>
  <c r="N30" i="5"/>
  <c r="M30" i="5"/>
  <c r="L30" i="5"/>
  <c r="O29" i="5"/>
  <c r="N29" i="5"/>
  <c r="M29" i="5"/>
  <c r="L29" i="5"/>
  <c r="O28" i="5"/>
  <c r="N28" i="5"/>
  <c r="M28" i="5"/>
  <c r="L28" i="5"/>
  <c r="O27" i="5"/>
  <c r="N27" i="5"/>
  <c r="M27" i="5"/>
  <c r="L27" i="5"/>
  <c r="O26" i="5"/>
  <c r="N26" i="5"/>
  <c r="M26" i="5"/>
  <c r="L26" i="5"/>
  <c r="O25" i="5"/>
  <c r="N25" i="5"/>
  <c r="M25" i="5"/>
  <c r="L25" i="5"/>
  <c r="O24" i="5"/>
  <c r="N24" i="5"/>
  <c r="M24" i="5"/>
  <c r="L24" i="5"/>
  <c r="O23" i="5"/>
  <c r="N23" i="5"/>
  <c r="M23" i="5"/>
  <c r="L23" i="5"/>
  <c r="O22" i="5"/>
  <c r="N22" i="5"/>
  <c r="M22" i="5"/>
  <c r="L22" i="5"/>
  <c r="O21" i="5"/>
  <c r="N21" i="5"/>
  <c r="M21" i="5"/>
  <c r="L21" i="5"/>
  <c r="O20" i="5"/>
  <c r="N20" i="5"/>
  <c r="M20" i="5"/>
  <c r="L20" i="5"/>
  <c r="O19" i="5"/>
  <c r="N19" i="5"/>
  <c r="M19" i="5"/>
  <c r="L19" i="5"/>
  <c r="O18" i="5"/>
  <c r="N18" i="5"/>
  <c r="M18" i="5"/>
  <c r="L18" i="5"/>
  <c r="O17" i="5"/>
  <c r="N17" i="5"/>
  <c r="M17" i="5"/>
  <c r="L17" i="5"/>
  <c r="O16" i="5"/>
  <c r="N16" i="5"/>
  <c r="M16" i="5"/>
  <c r="L16" i="5"/>
  <c r="O15" i="5"/>
  <c r="D9" i="5" s="1"/>
  <c r="N15" i="5"/>
  <c r="M15" i="5"/>
  <c r="L15" i="5"/>
  <c r="D10" i="5"/>
  <c r="D7" i="5"/>
  <c r="S16" i="3"/>
  <c r="M16" i="3"/>
  <c r="K16" i="3"/>
  <c r="G16" i="3"/>
  <c r="S15" i="3"/>
  <c r="M15" i="3"/>
  <c r="K15" i="3"/>
  <c r="G15" i="3"/>
  <c r="S14" i="3"/>
  <c r="M14" i="3"/>
  <c r="K14" i="3"/>
  <c r="G14" i="3"/>
  <c r="S13" i="3"/>
  <c r="M13" i="3"/>
  <c r="K13" i="3"/>
  <c r="G13" i="3"/>
  <c r="S12" i="3"/>
  <c r="M12" i="3"/>
  <c r="K12" i="3"/>
  <c r="G12" i="3"/>
  <c r="S11" i="3"/>
  <c r="M11" i="3"/>
  <c r="K11" i="3"/>
  <c r="G11" i="3"/>
  <c r="S10" i="3"/>
  <c r="M10" i="3"/>
  <c r="K10" i="3"/>
  <c r="G10" i="3"/>
  <c r="S9" i="3"/>
  <c r="M9" i="3"/>
  <c r="K9" i="3"/>
  <c r="G9" i="3"/>
  <c r="S8" i="3"/>
  <c r="M8" i="3"/>
  <c r="K8" i="3"/>
  <c r="G8" i="3"/>
  <c r="S7" i="3"/>
  <c r="M7" i="3"/>
  <c r="K7" i="3"/>
  <c r="G7" i="3"/>
  <c r="S6" i="3"/>
  <c r="M6" i="3"/>
  <c r="K6" i="3"/>
  <c r="G6" i="3"/>
  <c r="U5" i="3"/>
  <c r="S5" i="3"/>
  <c r="M5" i="3"/>
  <c r="K5" i="3"/>
  <c r="G5" i="3"/>
  <c r="H12" i="2"/>
  <c r="G12" i="2"/>
  <c r="F12" i="2"/>
  <c r="E12" i="2"/>
  <c r="D12" i="2"/>
  <c r="C12" i="2"/>
  <c r="D6" i="1" s="1"/>
  <c r="D8" i="5" l="1"/>
  <c r="D11" i="5"/>
  <c r="D6" i="5"/>
  <c r="D5" i="5"/>
  <c r="F12" i="3"/>
  <c r="F11" i="3"/>
  <c r="F16" i="3"/>
  <c r="F5" i="3"/>
  <c r="F15" i="3"/>
  <c r="F10" i="3"/>
  <c r="F9" i="3"/>
  <c r="F14" i="3"/>
  <c r="F8" i="3"/>
  <c r="F7" i="3"/>
  <c r="F13" i="3"/>
  <c r="F6" i="3"/>
  <c r="E16" i="3"/>
  <c r="E15" i="3"/>
  <c r="E14" i="3"/>
  <c r="E13" i="3"/>
  <c r="E11" i="3"/>
  <c r="E9" i="3"/>
  <c r="E12" i="3"/>
  <c r="E6" i="3"/>
  <c r="E8" i="3"/>
  <c r="E7" i="3"/>
  <c r="E5" i="3"/>
  <c r="E10" i="3"/>
  <c r="D16" i="3"/>
  <c r="D15" i="3"/>
  <c r="D14" i="3"/>
  <c r="D13" i="3"/>
  <c r="D11" i="3"/>
  <c r="D12" i="3"/>
  <c r="D5" i="3"/>
  <c r="D6" i="3"/>
  <c r="D10" i="3"/>
  <c r="D7" i="3"/>
  <c r="D9" i="3"/>
  <c r="D8" i="3"/>
  <c r="D11" i="1" l="1"/>
  <c r="D12" i="5"/>
  <c r="D5" i="7" s="1"/>
  <c r="H16" i="3"/>
  <c r="I16" i="3"/>
  <c r="J16" i="3" s="1"/>
  <c r="H15" i="3"/>
  <c r="I15" i="3"/>
  <c r="J15" i="3" s="1"/>
  <c r="H14" i="3"/>
  <c r="I14" i="3"/>
  <c r="J14" i="3" s="1"/>
  <c r="H13" i="3"/>
  <c r="I13" i="3"/>
  <c r="J13" i="3" s="1"/>
  <c r="H11" i="3"/>
  <c r="I11" i="3"/>
  <c r="J11" i="3" s="1"/>
  <c r="H12" i="3"/>
  <c r="I12" i="3"/>
  <c r="J12" i="3" s="1"/>
  <c r="H5" i="3"/>
  <c r="I5" i="3"/>
  <c r="J5" i="3" s="1"/>
  <c r="H6" i="3"/>
  <c r="I6" i="3"/>
  <c r="J6" i="3" s="1"/>
  <c r="H10" i="3"/>
  <c r="I10" i="3"/>
  <c r="J10" i="3" s="1"/>
  <c r="H7" i="3"/>
  <c r="I7" i="3"/>
  <c r="J7" i="3" s="1"/>
  <c r="H9" i="3"/>
  <c r="I9" i="3"/>
  <c r="J9" i="3" s="1"/>
  <c r="I8" i="3"/>
  <c r="J8" i="3" s="1"/>
  <c r="H8" i="3"/>
  <c r="L16" i="3" l="1"/>
  <c r="P16" i="3"/>
  <c r="O16" i="3"/>
  <c r="Q16" i="3"/>
  <c r="L15" i="3"/>
  <c r="P15" i="3"/>
  <c r="O15" i="3"/>
  <c r="Q15" i="3"/>
  <c r="L14" i="3"/>
  <c r="P14" i="3"/>
  <c r="O14" i="3"/>
  <c r="Q14" i="3"/>
  <c r="L13" i="3"/>
  <c r="P13" i="3"/>
  <c r="O13" i="3"/>
  <c r="Q13" i="3"/>
  <c r="L11" i="3"/>
  <c r="P11" i="3"/>
  <c r="O11" i="3"/>
  <c r="Q11" i="3"/>
  <c r="L12" i="3"/>
  <c r="P12" i="3"/>
  <c r="O12" i="3"/>
  <c r="Q12" i="3"/>
  <c r="P5" i="3"/>
  <c r="D7" i="1"/>
  <c r="L5" i="3"/>
  <c r="O5" i="3"/>
  <c r="Q5" i="3"/>
  <c r="L6" i="3"/>
  <c r="P6" i="3"/>
  <c r="O6" i="3"/>
  <c r="Q6" i="3"/>
  <c r="L10" i="3"/>
  <c r="P10" i="3"/>
  <c r="O10" i="3"/>
  <c r="Q10" i="3"/>
  <c r="L7" i="3"/>
  <c r="P7" i="3"/>
  <c r="O7" i="3"/>
  <c r="Q7" i="3"/>
  <c r="P9" i="3"/>
  <c r="L9" i="3"/>
  <c r="O9" i="3"/>
  <c r="Q9" i="3"/>
  <c r="Q8" i="3"/>
  <c r="O8" i="3"/>
  <c r="L8" i="3"/>
  <c r="P8" i="3"/>
  <c r="R11" i="3" l="1"/>
  <c r="R5" i="3"/>
  <c r="N16" i="3"/>
  <c r="T16" i="3" s="1"/>
  <c r="N15" i="3"/>
  <c r="N14" i="3"/>
  <c r="N13" i="3"/>
  <c r="N11" i="3"/>
  <c r="N12" i="3"/>
  <c r="N5" i="3"/>
  <c r="D8" i="1"/>
  <c r="N6" i="3"/>
  <c r="N10" i="3"/>
  <c r="N7" i="3"/>
  <c r="N9" i="3"/>
  <c r="N8" i="3"/>
  <c r="R12" i="3"/>
  <c r="R6" i="3"/>
  <c r="R10" i="3"/>
  <c r="R7" i="3"/>
  <c r="R9" i="3"/>
  <c r="R8" i="3"/>
  <c r="R16" i="3"/>
  <c r="R15" i="3"/>
  <c r="R14" i="3"/>
  <c r="R13" i="3"/>
  <c r="T15" i="3" l="1"/>
  <c r="T13" i="3"/>
  <c r="T14" i="3"/>
  <c r="T7" i="3"/>
  <c r="T11" i="3"/>
  <c r="T9" i="3"/>
  <c r="T5" i="3"/>
  <c r="V5" i="3" s="1"/>
  <c r="U6" i="3" s="1"/>
  <c r="V6" i="3" s="1"/>
  <c r="U7" i="3" s="1"/>
  <c r="V7" i="3" s="1"/>
  <c r="U8" i="3" s="1"/>
  <c r="V8" i="3" s="1"/>
  <c r="U9" i="3" s="1"/>
  <c r="V9" i="3" s="1"/>
  <c r="U10" i="3" s="1"/>
  <c r="V10" i="3" s="1"/>
  <c r="U11" i="3" s="1"/>
  <c r="V11" i="3" s="1"/>
  <c r="U12" i="3" s="1"/>
  <c r="V12" i="3" s="1"/>
  <c r="U13" i="3" s="1"/>
  <c r="V13" i="3" s="1"/>
  <c r="U14" i="3" s="1"/>
  <c r="V14" i="3" s="1"/>
  <c r="U15" i="3" s="1"/>
  <c r="V15" i="3" s="1"/>
  <c r="U16" i="3" s="1"/>
  <c r="V16" i="3" s="1"/>
  <c r="T8" i="3"/>
  <c r="T12" i="3"/>
  <c r="T10" i="3"/>
  <c r="T6" i="3"/>
  <c r="D6" i="7" l="1"/>
  <c r="D9" i="1"/>
  <c r="D10" i="1"/>
  <c r="D7" i="7"/>
</calcChain>
</file>

<file path=xl/sharedStrings.xml><?xml version="1.0" encoding="utf-8"?>
<sst xmlns="http://schemas.openxmlformats.org/spreadsheetml/2006/main" count="844" uniqueCount="297">
  <si>
    <t>Retail finance review</t>
  </si>
  <si>
    <t>Synthetic retailer | Actuals Jan 2025-Jun 2026 | Forecast Jul 2026-Jun 2027 | USD</t>
  </si>
  <si>
    <t>Metric</t>
  </si>
  <si>
    <t>Value</t>
  </si>
  <si>
    <t>Selected case</t>
  </si>
  <si>
    <t>Forecast revenue</t>
  </si>
  <si>
    <t>Forecast EBITDA</t>
  </si>
  <si>
    <t>Forecast free cash flow</t>
  </si>
  <si>
    <t>Ending cash</t>
  </si>
  <si>
    <t>Actual EBITDA vs budget</t>
  </si>
  <si>
    <t>Seasonal holdout WAPE</t>
  </si>
  <si>
    <t>Trailing mean holdout WAPE</t>
  </si>
  <si>
    <t>Synthetic source records</t>
  </si>
  <si>
    <t>Month</t>
  </si>
  <si>
    <t>Revenue</t>
  </si>
  <si>
    <t>EBITDA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</si>
  <si>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</si>
  <si>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</si>
  <si>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</si>
  <si>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</si>
  <si>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</si>
  <si>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</si>
  <si>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</si>
  <si>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</si>
  <si>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</si>
  <si>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</si>
  <si>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</si>
  <si>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</si>
  <si>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</si>
  <si>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</si>
  <si>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</si>
  <si>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</si>
  <si>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</si>
  <si>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</si>
  <si>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Forecast assumptions</t>
  </si>
  <si>
    <t>Blue values are editable. Change D5: 1 Base, 2 Downside, 3 Upside.</t>
  </si>
  <si>
    <t>Case</t>
  </si>
  <si>
    <t>Demand change</t>
  </si>
  <si>
    <t>Price change</t>
  </si>
  <si>
    <t>Cost change</t>
  </si>
  <si>
    <t>Inventory days</t>
  </si>
  <si>
    <t>Payable days</t>
  </si>
  <si>
    <t>Base</t>
  </si>
  <si>
    <t>Downside</t>
  </si>
  <si>
    <t>Upside</t>
  </si>
  <si>
    <t>Other assumptions</t>
  </si>
  <si>
    <t>Fixed monthly expense</t>
  </si>
  <si>
    <t>Depreciation</t>
  </si>
  <si>
    <t>Monthly capex</t>
  </si>
  <si>
    <t>Tax rate</t>
  </si>
  <si>
    <t>Receivable days</t>
  </si>
  <si>
    <t>Opening cash</t>
  </si>
  <si>
    <t>Opening inventory days</t>
  </si>
  <si>
    <t>Opening payable days</t>
  </si>
  <si>
    <t>Twelve month rolling forecast</t>
  </si>
  <si>
    <t>Same build for all cases. Actual history stays unchanged.</t>
  </si>
  <si>
    <t>Units</t>
  </si>
  <si>
    <t>Net price</t>
  </si>
  <si>
    <t>Variable / unit</t>
  </si>
  <si>
    <t>Merchandise share</t>
  </si>
  <si>
    <t>Variable costs</t>
  </si>
  <si>
    <t>Merchandise COGS</t>
  </si>
  <si>
    <t>Fixed costs</t>
  </si>
  <si>
    <t>D&amp;A</t>
  </si>
  <si>
    <t>Taxes</t>
  </si>
  <si>
    <t>Inventory</t>
  </si>
  <si>
    <t>Receivables</t>
  </si>
  <si>
    <t>Payables</t>
  </si>
  <si>
    <t>Change NWC</t>
  </si>
  <si>
    <t>Capex</t>
  </si>
  <si>
    <t>Free cash flow</t>
  </si>
  <si>
    <t>2026-07</t>
  </si>
  <si>
    <t>2026-08</t>
  </si>
  <si>
    <t>2026-09</t>
  </si>
  <si>
    <t>2026-10</t>
  </si>
  <si>
    <t>2026-11</t>
  </si>
  <si>
    <t>2026-12</t>
  </si>
  <si>
    <t>2027-01</t>
  </si>
  <si>
    <t>2027-02</t>
  </si>
  <si>
    <t>2027-03</t>
  </si>
  <si>
    <t>2027-04</t>
  </si>
  <si>
    <t>2027-05</t>
  </si>
  <si>
    <t>2027-06</t>
  </si>
  <si>
    <t>Historical actuals</t>
  </si>
  <si>
    <t>SQL aggregates from data/orders.csv; source amounts preserved.</t>
  </si>
  <si>
    <t>EBITDA variance bridge</t>
  </si>
  <si>
    <t>Exact sequence: volume, mix, net price, variable cost and fixed cost. Positive increases profit.</t>
  </si>
  <si>
    <t>Driver</t>
  </si>
  <si>
    <t>USD</t>
  </si>
  <si>
    <t>Budget EBITDA</t>
  </si>
  <si>
    <t>Volume</t>
  </si>
  <si>
    <t>Mix</t>
  </si>
  <si>
    <t>Price</t>
  </si>
  <si>
    <t>Actual EBITDA</t>
  </si>
  <si>
    <t>Reconciliation difference</t>
  </si>
  <si>
    <t>Segment key</t>
  </si>
  <si>
    <t>Budget units</t>
  </si>
  <si>
    <t>Budget price</t>
  </si>
  <si>
    <t>Budget unit cost</t>
  </si>
  <si>
    <t>Actual units</t>
  </si>
  <si>
    <t>Actual price</t>
  </si>
  <si>
    <t>Actual unit cost</t>
  </si>
  <si>
    <t>Budget fixed</t>
  </si>
  <si>
    <t>Actual fixed</t>
  </si>
  <si>
    <t>Budget contribution</t>
  </si>
  <si>
    <t>Actual contribution</t>
  </si>
  <si>
    <t>Price effect</t>
  </si>
  <si>
    <t>Cost effect</t>
  </si>
  <si>
    <t>2025-01 East Electronics</t>
  </si>
  <si>
    <t>2025-01 East Home</t>
  </si>
  <si>
    <t>2025-01 East Essentials</t>
  </si>
  <si>
    <t>2025-01 Central Electronics</t>
  </si>
  <si>
    <t>2025-01 Central Home</t>
  </si>
  <si>
    <t>2025-01 Central Essentials</t>
  </si>
  <si>
    <t>2025-01 West Electronics</t>
  </si>
  <si>
    <t>2025-01 West Home</t>
  </si>
  <si>
    <t>2025-01 West Essentials</t>
  </si>
  <si>
    <t>2025-02 East Electronics</t>
  </si>
  <si>
    <t>2025-02 East Home</t>
  </si>
  <si>
    <t>2025-02 East Essentials</t>
  </si>
  <si>
    <t>2025-02 Central Electronics</t>
  </si>
  <si>
    <t>2025-02 Central Home</t>
  </si>
  <si>
    <t>2025-02 Central Essentials</t>
  </si>
  <si>
    <t>2025-02 West Electronics</t>
  </si>
  <si>
    <t>2025-02 West Home</t>
  </si>
  <si>
    <t>2025-02 West Essentials</t>
  </si>
  <si>
    <t>2025-03 East Electronics</t>
  </si>
  <si>
    <t>2025-03 East Home</t>
  </si>
  <si>
    <t>2025-03 East Essentials</t>
  </si>
  <si>
    <t>2025-03 Central Electronics</t>
  </si>
  <si>
    <t>2025-03 Central Home</t>
  </si>
  <si>
    <t>2025-03 Central Essentials</t>
  </si>
  <si>
    <t>2025-03 West Electronics</t>
  </si>
  <si>
    <t>2025-03 West Home</t>
  </si>
  <si>
    <t>2025-03 West Essentials</t>
  </si>
  <si>
    <t>2025-04 East Electronics</t>
  </si>
  <si>
    <t>2025-04 East Home</t>
  </si>
  <si>
    <t>2025-04 East Essentials</t>
  </si>
  <si>
    <t>2025-04 Central Electronics</t>
  </si>
  <si>
    <t>2025-04 Central Home</t>
  </si>
  <si>
    <t>2025-04 Central Essentials</t>
  </si>
  <si>
    <t>2025-04 West Electronics</t>
  </si>
  <si>
    <t>2025-04 West Home</t>
  </si>
  <si>
    <t>2025-04 West Essentials</t>
  </si>
  <si>
    <t>2025-05 East Electronics</t>
  </si>
  <si>
    <t>2025-05 East Home</t>
  </si>
  <si>
    <t>2025-05 East Essentials</t>
  </si>
  <si>
    <t>2025-05 Central Electronics</t>
  </si>
  <si>
    <t>2025-05 Central Home</t>
  </si>
  <si>
    <t>2025-05 Central Essentials</t>
  </si>
  <si>
    <t>2025-05 West Electronics</t>
  </si>
  <si>
    <t>2025-05 West Home</t>
  </si>
  <si>
    <t>2025-05 West Essentials</t>
  </si>
  <si>
    <t>2025-06 East Electronics</t>
  </si>
  <si>
    <t>2025-06 East Home</t>
  </si>
  <si>
    <t>2025-06 East Essentials</t>
  </si>
  <si>
    <t>2025-06 Central Electronics</t>
  </si>
  <si>
    <t>2025-06 Central Home</t>
  </si>
  <si>
    <t>2025-06 Central Essentials</t>
  </si>
  <si>
    <t>2025-06 West Electronics</t>
  </si>
  <si>
    <t>2025-06 West Home</t>
  </si>
  <si>
    <t>2025-06 West Essentials</t>
  </si>
  <si>
    <t>2025-07 East Electronics</t>
  </si>
  <si>
    <t>2025-07 East Home</t>
  </si>
  <si>
    <t>2025-07 East Essentials</t>
  </si>
  <si>
    <t>2025-07 Central Electronics</t>
  </si>
  <si>
    <t>2025-07 Central Home</t>
  </si>
  <si>
    <t>2025-07 Central Essentials</t>
  </si>
  <si>
    <t>2025-07 West Electronics</t>
  </si>
  <si>
    <t>2025-07 West Home</t>
  </si>
  <si>
    <t>2025-07 West Essentials</t>
  </si>
  <si>
    <t>2025-08 East Electronics</t>
  </si>
  <si>
    <t>2025-08 East Home</t>
  </si>
  <si>
    <t>2025-08 East Essentials</t>
  </si>
  <si>
    <t>2025-08 Central Electronics</t>
  </si>
  <si>
    <t>2025-08 Central Home</t>
  </si>
  <si>
    <t>2025-08 Central Essentials</t>
  </si>
  <si>
    <t>2025-08 West Electronics</t>
  </si>
  <si>
    <t>2025-08 West Home</t>
  </si>
  <si>
    <t>2025-08 West Essentials</t>
  </si>
  <si>
    <t>2025-09 East Electronics</t>
  </si>
  <si>
    <t>2025-09 East Home</t>
  </si>
  <si>
    <t>2025-09 East Essentials</t>
  </si>
  <si>
    <t>2025-09 Central Electronics</t>
  </si>
  <si>
    <t>2025-09 Central Home</t>
  </si>
  <si>
    <t>2025-09 Central Essentials</t>
  </si>
  <si>
    <t>2025-09 West Electronics</t>
  </si>
  <si>
    <t>2025-09 West Home</t>
  </si>
  <si>
    <t>2025-09 West Essentials</t>
  </si>
  <si>
    <t>2025-10 East Electronics</t>
  </si>
  <si>
    <t>2025-10 East Home</t>
  </si>
  <si>
    <t>2025-10 East Essentials</t>
  </si>
  <si>
    <t>2025-10 Central Electronics</t>
  </si>
  <si>
    <t>2025-10 Central Home</t>
  </si>
  <si>
    <t>2025-10 Central Essentials</t>
  </si>
  <si>
    <t>2025-10 West Electronics</t>
  </si>
  <si>
    <t>2025-10 West Home</t>
  </si>
  <si>
    <t>2025-10 West Essentials</t>
  </si>
  <si>
    <t>2025-11 East Electronics</t>
  </si>
  <si>
    <t>2025-11 East Home</t>
  </si>
  <si>
    <t>2025-11 East Essentials</t>
  </si>
  <si>
    <t>2025-11 Central Electronics</t>
  </si>
  <si>
    <t>2025-11 Central Home</t>
  </si>
  <si>
    <t>2025-11 Central Essentials</t>
  </si>
  <si>
    <t>2025-11 West Electronics</t>
  </si>
  <si>
    <t>2025-11 West Home</t>
  </si>
  <si>
    <t>2025-11 West Essentials</t>
  </si>
  <si>
    <t>2025-12 East Electronics</t>
  </si>
  <si>
    <t>2025-12 East Home</t>
  </si>
  <si>
    <t>2025-12 East Essentials</t>
  </si>
  <si>
    <t>2025-12 Central Electronics</t>
  </si>
  <si>
    <t>2025-12 Central Home</t>
  </si>
  <si>
    <t>2025-12 Central Essentials</t>
  </si>
  <si>
    <t>2025-12 West Electronics</t>
  </si>
  <si>
    <t>2025-12 West Home</t>
  </si>
  <si>
    <t>2025-12 West Essentials</t>
  </si>
  <si>
    <t>2026-01 East Electronics</t>
  </si>
  <si>
    <t>2026-01 East Home</t>
  </si>
  <si>
    <t>2026-01 East Essentials</t>
  </si>
  <si>
    <t>2026-01 Central Electronics</t>
  </si>
  <si>
    <t>2026-01 Central Home</t>
  </si>
  <si>
    <t>2026-01 Central Essentials</t>
  </si>
  <si>
    <t>2026-01 West Electronics</t>
  </si>
  <si>
    <t>2026-01 West Home</t>
  </si>
  <si>
    <t>2026-01 West Essentials</t>
  </si>
  <si>
    <t>2026-02 East Electronics</t>
  </si>
  <si>
    <t>2026-02 East Home</t>
  </si>
  <si>
    <t>2026-02 East Essentials</t>
  </si>
  <si>
    <t>2026-02 Central Electronics</t>
  </si>
  <si>
    <t>2026-02 Central Home</t>
  </si>
  <si>
    <t>2026-02 Central Essentials</t>
  </si>
  <si>
    <t>2026-02 West Electronics</t>
  </si>
  <si>
    <t>2026-02 West Home</t>
  </si>
  <si>
    <t>2026-02 West Essentials</t>
  </si>
  <si>
    <t>2026-03 East Electronics</t>
  </si>
  <si>
    <t>2026-03 East Home</t>
  </si>
  <si>
    <t>2026-03 East Essentials</t>
  </si>
  <si>
    <t>2026-03 Central Electronics</t>
  </si>
  <si>
    <t>2026-03 Central Home</t>
  </si>
  <si>
    <t>2026-03 Central Essentials</t>
  </si>
  <si>
    <t>2026-03 West Electronics</t>
  </si>
  <si>
    <t>2026-03 West Home</t>
  </si>
  <si>
    <t>2026-03 West Essentials</t>
  </si>
  <si>
    <t>2026-04 East Electronics</t>
  </si>
  <si>
    <t>2026-04 East Home</t>
  </si>
  <si>
    <t>2026-04 East Essentials</t>
  </si>
  <si>
    <t>2026-04 Central Electronics</t>
  </si>
  <si>
    <t>2026-04 Central Home</t>
  </si>
  <si>
    <t>2026-04 Central Essentials</t>
  </si>
  <si>
    <t>2026-04 West Electronics</t>
  </si>
  <si>
    <t>2026-04 West Home</t>
  </si>
  <si>
    <t>2026-04 West Essentials</t>
  </si>
  <si>
    <t>2026-05 East Electronics</t>
  </si>
  <si>
    <t>2026-05 East Home</t>
  </si>
  <si>
    <t>2026-05 East Essentials</t>
  </si>
  <si>
    <t>2026-05 Central Electronics</t>
  </si>
  <si>
    <t>2026-05 Central Home</t>
  </si>
  <si>
    <t>2026-05 Central Essentials</t>
  </si>
  <si>
    <t>2026-05 West Electronics</t>
  </si>
  <si>
    <t>2026-05 West Home</t>
  </si>
  <si>
    <t>2026-05 West Essentials</t>
  </si>
  <si>
    <t>2026-06 East Electronics</t>
  </si>
  <si>
    <t>2026-06 East Home</t>
  </si>
  <si>
    <t>2026-06 East Essentials</t>
  </si>
  <si>
    <t>2026-06 Central Electronics</t>
  </si>
  <si>
    <t>2026-06 Central Home</t>
  </si>
  <si>
    <t>2026-06 Central Essentials</t>
  </si>
  <si>
    <t>2026-06 West Electronics</t>
  </si>
  <si>
    <t>2026-06 West Home</t>
  </si>
  <si>
    <t>2026-06 West Essentials</t>
  </si>
  <si>
    <t>Segment actuals</t>
  </si>
  <si>
    <t>Nine category-region combinations per month. Native PivotTable added in Excel.</t>
  </si>
  <si>
    <t>Region</t>
  </si>
  <si>
    <t>Category</t>
  </si>
  <si>
    <t>Central</t>
  </si>
  <si>
    <t>Electronics</t>
  </si>
  <si>
    <t>Essentials</t>
  </si>
  <si>
    <t>Home</t>
  </si>
  <si>
    <t>East</t>
  </si>
  <si>
    <t>West</t>
  </si>
  <si>
    <t>Model reconciliations</t>
  </si>
  <si>
    <t>Independent diagnostics. No planning formulas depend on this sheet.</t>
  </si>
  <si>
    <t>Check</t>
  </si>
  <si>
    <t>Difference</t>
  </si>
  <si>
    <t>Variance bridge</t>
  </si>
  <si>
    <t>Cash flow identity</t>
  </si>
  <si>
    <t>Cash continuity</t>
  </si>
  <si>
    <t>Source revenue tie</t>
  </si>
  <si>
    <t>Native Excel PivotTable</t>
  </si>
  <si>
    <t>Row Labels</t>
  </si>
  <si>
    <t>Grand Total</t>
  </si>
  <si>
    <t>Column Labels</t>
  </si>
  <si>
    <t>(All)</t>
  </si>
  <si>
    <t>Revenue USD</t>
  </si>
  <si>
    <t>Total Revenue USD</t>
  </si>
  <si>
    <t>Total EBITDA USD</t>
  </si>
  <si>
    <t>EBITDA 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</si>
</sst>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#,##0;\(#,##0\);&quot;-&quot;"/>
  </numFmts>
  <fonts count="8">
    <font>
      <sz val="11"/>
      <name val="Carlito"/>
    </font>
    <font>
      <sz val="10"/>
      <name val="Arial"/>
    </font>
    <font>
      <b/>
      <sz val="14"/>
      <name val="Arial"/>
    </font>
    <font>
      <b/>
      <sz val="10"/>
      <color rgb="FFFFFFFF"/>
      <name val="Arial"/>
    </font>
    <font>
      <sz val="10"/>
      <color rgb="FF000000"/>
      <name val="Arial"/>
    </font>
    <font>
      <sz val="10"/>
      <color rgb="FF0000FF"/>
      <name val="Arial"/>
    </font>
    <font>
      <sz val="10"/>
      <color rgb="FF008000"/>
      <name val="Arial"/>
    </font>
    <font>
      <b/>
      <sz val="1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FFF1C2"/>
      </patternFill>
    </fill>
    <fill>
      <patternFill patternType="solid">
        <fgColor rgb="FF2033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3" fillId="3" borderId="0" xfId="0" applyFont="1" applyFill="1"/>
    <xf numFmtId="0" fontId="4" fillId="0" borderId="0" xfId="0" applyFont="1"/>
    <xf numFmtId="164" fontId="1" fillId="0" borderId="0" xfId="0" applyNumberFormat="1" applyFont="1"/>
    <xf numFmtId="164" fontId="4" fillId="0" borderId="0" xfId="0" applyNumberFormat="1" applyFont="1"/>
    <xf numFmtId="164" fontId="5" fillId="0" borderId="0" xfId="0" applyNumberFormat="1" applyFont="1"/>
    <xf numFmtId="0" fontId="5" fillId="0" borderId="0" xfId="0" applyFont="1"/>
    <xf numFmtId="165" fontId="1" fillId="0" borderId="0" xfId="0" applyNumberFormat="1" applyFont="1"/>
    <xf numFmtId="0" fontId="6" fillId="0" borderId="0" xfId="0" applyFont="1"/>
    <xf numFmtId="165" fontId="6" fillId="0" borderId="0" xfId="0" applyNumberFormat="1" applyFont="1"/>
    <xf numFmtId="165" fontId="4" fillId="0" borderId="0" xfId="0" applyNumberFormat="1" applyFont="1"/>
    <xf numFmtId="164" fontId="6" fillId="0" borderId="0" xfId="0" applyNumberFormat="1" applyFont="1"/>
    <xf numFmtId="2" fontId="6" fillId="0" borderId="0" xfId="0" applyNumberFormat="1" applyFont="1"/>
    <xf numFmtId="0" fontId="7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Historical revenue and EBITDA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Revenue</c:v>
          </c:tx>
          <c:marker>
            <c:symbol val="none"/>
          </c:marker>
          <c:cat>
            <c:strRef>
              <c:f>Summary!$C$22:$C$39</c:f>
              <c:strCache>
                <c:ptCount val="18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2025-05</c:v>
                </c:pt>
                <c:pt idx="5">
                  <c:v>2025-06</c:v>
                </c:pt>
                <c:pt idx="6">
                  <c:v>2025-07</c:v>
                </c:pt>
                <c:pt idx="7">
                  <c:v>2025-08</c:v>
                </c:pt>
                <c:pt idx="8">
                  <c:v>2025-09</c:v>
                </c:pt>
                <c:pt idx="9">
                  <c:v>2025-10</c:v>
                </c:pt>
                <c:pt idx="10">
                  <c:v>2025-11</c:v>
                </c:pt>
                <c:pt idx="11">
                  <c:v>2025-12</c:v>
                </c:pt>
                <c:pt idx="12">
                  <c:v>2026-01</c:v>
                </c:pt>
                <c:pt idx="13">
                  <c:v>2026-02</c:v>
                </c:pt>
                <c:pt idx="14">
                  <c:v>2026-03</c:v>
                </c:pt>
                <c:pt idx="15">
                  <c:v>2026-04</c:v>
                </c:pt>
                <c:pt idx="16">
                  <c:v>2026-05</c:v>
                </c:pt>
                <c:pt idx="17">
                  <c:v>2026-06</c:v>
                </c:pt>
              </c:strCache>
            </c:strRef>
          </c:cat>
          <c:val>
            <c:numRef>
              <c:f>Summary!$D$22:$D$39</c:f>
              <c:numCache>
                <c:formatCode>#,##0;\(#,##0\);"-"</c:formatCode>
                <c:ptCount val="18"/>
                <c:pt idx="0">
                  <c:v>857947.11600000004</c:v>
                </c:pt>
                <c:pt idx="1">
                  <c:v>872546.50179999997</c:v>
                </c:pt>
                <c:pt idx="2">
                  <c:v>995053.26229999994</c:v>
                </c:pt>
                <c:pt idx="3">
                  <c:v>961530.32959999994</c:v>
                </c:pt>
                <c:pt idx="4">
                  <c:v>983531.47090000007</c:v>
                </c:pt>
                <c:pt idx="5">
                  <c:v>961942.23470000003</c:v>
                </c:pt>
                <c:pt idx="6">
                  <c:v>964720.49939999997</c:v>
                </c:pt>
                <c:pt idx="7">
                  <c:v>981775.60649999999</c:v>
                </c:pt>
                <c:pt idx="8">
                  <c:v>951884.46570000006</c:v>
                </c:pt>
                <c:pt idx="9">
                  <c:v>993976.22259999998</c:v>
                </c:pt>
                <c:pt idx="10">
                  <c:v>1350354.2538999999</c:v>
                </c:pt>
                <c:pt idx="11">
                  <c:v>1320946.2423999999</c:v>
                </c:pt>
                <c:pt idx="12">
                  <c:v>893528.20349999995</c:v>
                </c:pt>
                <c:pt idx="13">
                  <c:v>950410.33169999998</c:v>
                </c:pt>
                <c:pt idx="14">
                  <c:v>1019858.1662</c:v>
                </c:pt>
                <c:pt idx="15">
                  <c:v>1005011.9080000001</c:v>
                </c:pt>
                <c:pt idx="16">
                  <c:v>1050659.5342000001</c:v>
                </c:pt>
                <c:pt idx="17">
                  <c:v>1014065.2631000001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1AD-4C8E-A223-F03454AFF988}"/>
            </c:ext>
          </c:extLst>
        </c:ser>
        <c:ser>
          <c:idx val="1"/>
          <c:order val="1"/>
          <c:tx>
            <c:v>EBITDA</c:v>
          </c:tx>
          <c:marker>
            <c:symbol val="none"/>
          </c:marker>
          <c:cat>
            <c:strRef>
              <c:f>Summary!$C$22:$C$39</c:f>
              <c:strCache>
                <c:ptCount val="18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2025-05</c:v>
                </c:pt>
                <c:pt idx="5">
                  <c:v>2025-06</c:v>
                </c:pt>
                <c:pt idx="6">
                  <c:v>2025-07</c:v>
                </c:pt>
                <c:pt idx="7">
                  <c:v>2025-08</c:v>
                </c:pt>
                <c:pt idx="8">
                  <c:v>2025-09</c:v>
                </c:pt>
                <c:pt idx="9">
                  <c:v>2025-10</c:v>
                </c:pt>
                <c:pt idx="10">
                  <c:v>2025-11</c:v>
                </c:pt>
                <c:pt idx="11">
                  <c:v>2025-12</c:v>
                </c:pt>
                <c:pt idx="12">
                  <c:v>2026-01</c:v>
                </c:pt>
                <c:pt idx="13">
                  <c:v>2026-02</c:v>
                </c:pt>
                <c:pt idx="14">
                  <c:v>2026-03</c:v>
                </c:pt>
                <c:pt idx="15">
                  <c:v>2026-04</c:v>
                </c:pt>
                <c:pt idx="16">
                  <c:v>2026-05</c:v>
                </c:pt>
                <c:pt idx="17">
                  <c:v>2026-06</c:v>
                </c:pt>
              </c:strCache>
            </c:strRef>
          </c:cat>
          <c:val>
            <c:numRef>
              <c:f>Summary!$E$22:$E$39</c:f>
              <c:numCache>
                <c:formatCode>#,##0;\(#,##0\);"-"</c:formatCode>
                <c:ptCount val="18"/>
                <c:pt idx="0">
                  <c:v>88637.011100000032</c:v>
                </c:pt>
                <c:pt idx="1">
                  <c:v>104709.64360000001</c:v>
                </c:pt>
                <c:pt idx="2">
                  <c:v>140331.13319999995</c:v>
                </c:pt>
                <c:pt idx="3">
                  <c:v>115550.95009999997</c:v>
                </c:pt>
                <c:pt idx="4">
                  <c:v>147275.92760000002</c:v>
                </c:pt>
                <c:pt idx="5">
                  <c:v>123663.9357</c:v>
                </c:pt>
                <c:pt idx="6">
                  <c:v>122096.27770000001</c:v>
                </c:pt>
                <c:pt idx="7">
                  <c:v>137516.09059999997</c:v>
                </c:pt>
                <c:pt idx="8">
                  <c:v>129401.67480000002</c:v>
                </c:pt>
                <c:pt idx="9">
                  <c:v>135555.28699999998</c:v>
                </c:pt>
                <c:pt idx="10">
                  <c:v>266447.85849999997</c:v>
                </c:pt>
                <c:pt idx="11">
                  <c:v>233733.31559999997</c:v>
                </c:pt>
                <c:pt idx="12">
                  <c:v>123034.54299999996</c:v>
                </c:pt>
                <c:pt idx="13">
                  <c:v>134879.12340000001</c:v>
                </c:pt>
                <c:pt idx="14">
                  <c:v>161874.96809999997</c:v>
                </c:pt>
                <c:pt idx="15">
                  <c:v>152063.55220000001</c:v>
                </c:pt>
                <c:pt idx="16">
                  <c:v>160834.44270000001</c:v>
                </c:pt>
                <c:pt idx="17">
                  <c:v>149993.47430000006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1AD-4C8E-A223-F03454AFF9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$0.0,,&quot;M&quot;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4</xdr:row>
      <xdr:rowOff>0</xdr:rowOff>
    </xdr:from>
    <xdr:to>
      <xdr:col>15</xdr:col>
      <xdr:colOff>0</xdr:colOff>
      <xdr:row>19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niyal Hayat" refreshedDate="46317.288534490741" createdVersion="8" refreshedVersion="8" minRefreshableVersion="3" recordCount="162" xr:uid="{10D53AC9-4C06-4E64-A09C-9580DEF9A3D2}">
  <cacheSource type="worksheet">
    <worksheetSource ref="C4:K166" sheet="Segments"/>
  </cacheSource>
  <cacheFields count="9">
    <cacheField name="Month" numFmtId="0">
      <sharedItems count="18">
        <s v="2025-01"/>
        <s v="2025-02"/>
        <s v="2025-03"/>
        <s v="2025-04"/>
        <s v="2025-05"/>
        <s v="2025-06"/>
        <s v="2025-07"/>
        <s v="2025-08"/>
        <s v="2025-09"/>
        <s v="2025-10"/>
        <s v="2025-11"/>
        <s v="2025-12"/>
        <s v="2026-01"/>
        <s v="2026-02"/>
        <s v="2026-03"/>
        <s v="2026-04"/>
        <s v="2026-05"/>
        <s v="2026-06"/>
      </sharedItems>
    </cacheField>
    <cacheField name="Region" numFmtId="0">
      <sharedItems count="3">
        <s v="Central"/>
        <s v="East"/>
        <s v="West"/>
      </sharedItems>
    </cacheField>
    <cacheField name="Category" numFmtId="0">
      <sharedItems count="3">
        <s v="Electronics"/>
        <s v="Essentials"/>
        <s v="Home"/>
      </sharedItems>
    </cacheField>
    <cacheField name="Units" numFmtId="0">
      <sharedItems containsSemiMixedTypes="0" containsString="0" containsNumber="1" containsInteger="1" minValue="1423" maxValue="4064"/>
    </cacheField>
    <cacheField name="Revenue" numFmtId="165">
      <sharedItems containsSemiMixedTypes="0" containsString="0" containsNumber="1" minValue="40437.1008" maxValue="278026.5612"/>
    </cacheField>
    <cacheField name="Variable costs" numFmtId="165">
      <sharedItems containsSemiMixedTypes="0" containsString="0" containsNumber="1" minValue="27621.826399999998" maxValue="204294.8616"/>
    </cacheField>
    <cacheField name="Merchandise COGS" numFmtId="165">
      <sharedItems containsSemiMixedTypes="0" containsString="0" containsNumber="1" minValue="21579.524400000002" maxValue="188486.4222"/>
    </cacheField>
    <cacheField name="Fixed costs" numFmtId="165">
      <sharedItems containsSemiMixedTypes="0" containsString="0" containsNumber="1" containsInteger="1" minValue="18360" maxValue="18540"/>
    </cacheField>
    <cacheField name="EBITDA" numFmtId="165">
      <sharedItems containsSemiMixedTypes="0" containsString="0" containsNumber="1" minValue="-7017.5039999999935" maxValue="56783.67499999998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2">
  <r>
    <x v="0"/>
    <x v="0"/>
    <x v="0"/>
    <n v="1526"/>
    <n v="141797.7512"/>
    <n v="104388.4716"/>
    <n v="96310.743199999997"/>
    <n v="18450"/>
    <n v="18959.279599999994"/>
  </r>
  <r>
    <x v="0"/>
    <x v="0"/>
    <x v="1"/>
    <n v="2351"/>
    <n v="43696.391300000003"/>
    <n v="30847.706099999999"/>
    <n v="24099.865899999997"/>
    <n v="18450"/>
    <n v="-5601.3147999999965"/>
  </r>
  <r>
    <x v="0"/>
    <x v="0"/>
    <x v="2"/>
    <n v="1813"/>
    <n v="77931.623700000011"/>
    <n v="50618.053500000002"/>
    <n v="42959.941500000001"/>
    <n v="18450"/>
    <n v="8863.5702000000092"/>
  </r>
  <r>
    <x v="0"/>
    <x v="1"/>
    <x v="0"/>
    <n v="1598"/>
    <n v="146724.52479999998"/>
    <n v="107211.41799999999"/>
    <n v="98915.241200000004"/>
    <n v="18450"/>
    <n v="21063.106799999994"/>
  </r>
  <r>
    <x v="0"/>
    <x v="1"/>
    <x v="1"/>
    <n v="2370"/>
    <n v="43688.817000000003"/>
    <n v="30665.666999999998"/>
    <n v="23957.381999999998"/>
    <n v="18450"/>
    <n v="-5426.8499999999949"/>
  </r>
  <r>
    <x v="0"/>
    <x v="1"/>
    <x v="2"/>
    <n v="1765"/>
    <n v="78373.589500000002"/>
    <n v="49386.994500000001"/>
    <n v="41915.0435"/>
    <n v="18450"/>
    <n v="10536.595000000001"/>
  </r>
  <r>
    <x v="0"/>
    <x v="2"/>
    <x v="0"/>
    <n v="1944"/>
    <n v="178288.128"/>
    <n v="136318.72319999998"/>
    <n v="125770.38480000001"/>
    <n v="18450"/>
    <n v="23519.404800000018"/>
  </r>
  <r>
    <x v="0"/>
    <x v="2"/>
    <x v="1"/>
    <n v="2700"/>
    <n v="50540.49"/>
    <n v="33968.43"/>
    <n v="26537.759999999998"/>
    <n v="18450"/>
    <n v="-1877.9400000000023"/>
  </r>
  <r>
    <x v="0"/>
    <x v="2"/>
    <x v="2"/>
    <n v="2235"/>
    <n v="96905.800500000012"/>
    <n v="59854.641000000003"/>
    <n v="50799.315000000002"/>
    <n v="18450"/>
    <n v="18601.159500000009"/>
  </r>
  <r>
    <x v="1"/>
    <x v="0"/>
    <x v="0"/>
    <n v="1805"/>
    <n v="171837.08300000001"/>
    <n v="127147.9905"/>
    <n v="117309.11600000001"/>
    <n v="18540"/>
    <n v="26149.092500000013"/>
  </r>
  <r>
    <x v="1"/>
    <x v="0"/>
    <x v="1"/>
    <n v="2198"/>
    <n v="41025.450199999999"/>
    <n v="27621.826399999998"/>
    <n v="21579.524400000002"/>
    <n v="18540"/>
    <n v="-5136.3761999999988"/>
  </r>
  <r>
    <x v="1"/>
    <x v="0"/>
    <x v="2"/>
    <n v="2042"/>
    <n v="90501.644199999995"/>
    <n v="54170.3802"/>
    <n v="45974.813199999997"/>
    <n v="18540"/>
    <n v="17791.263999999996"/>
  </r>
  <r>
    <x v="1"/>
    <x v="1"/>
    <x v="0"/>
    <n v="1423"/>
    <n v="137327.61110000001"/>
    <n v="98142.175499999998"/>
    <n v="90547.766799999998"/>
    <n v="18540"/>
    <n v="20645.435600000012"/>
  </r>
  <r>
    <x v="1"/>
    <x v="1"/>
    <x v="1"/>
    <n v="2407"/>
    <n v="45170.965499999998"/>
    <n v="31485.004199999999"/>
    <n v="24597.614400000002"/>
    <n v="18540"/>
    <n v="-4854.038700000001"/>
  </r>
  <r>
    <x v="1"/>
    <x v="1"/>
    <x v="2"/>
    <n v="1992"/>
    <n v="88417.907999999996"/>
    <n v="55094.138399999996"/>
    <n v="46758.813599999994"/>
    <n v="18540"/>
    <n v="14783.7696"/>
  </r>
  <r>
    <x v="1"/>
    <x v="2"/>
    <x v="0"/>
    <n v="1726"/>
    <n v="159224.70819999999"/>
    <n v="115828.0628"/>
    <n v="106865.1174"/>
    <n v="18540"/>
    <n v="24856.645399999994"/>
  </r>
  <r>
    <x v="1"/>
    <x v="2"/>
    <x v="1"/>
    <n v="2318"/>
    <n v="43206.129199999996"/>
    <n v="31290.913800000002"/>
    <n v="24446.091600000003"/>
    <n v="18540"/>
    <n v="-6624.7846000000063"/>
  </r>
  <r>
    <x v="1"/>
    <x v="2"/>
    <x v="2"/>
    <n v="2207"/>
    <n v="95835.002400000012"/>
    <n v="60196.366400000006"/>
    <n v="51089.180899999999"/>
    <n v="18540"/>
    <n v="17098.636000000006"/>
  </r>
  <r>
    <x v="2"/>
    <x v="0"/>
    <x v="0"/>
    <n v="1949"/>
    <n v="188038.1557"/>
    <n v="136337.42250000002"/>
    <n v="125787.48550000001"/>
    <n v="18360"/>
    <n v="33340.733199999988"/>
  </r>
  <r>
    <x v="2"/>
    <x v="0"/>
    <x v="1"/>
    <n v="2464"/>
    <n v="45770.032000000007"/>
    <n v="33278.537599999996"/>
    <n v="25998.896000000004"/>
    <n v="18360"/>
    <n v="-5868.5055999999895"/>
  </r>
  <r>
    <x v="2"/>
    <x v="0"/>
    <x v="2"/>
    <n v="2108"/>
    <n v="89684.227599999998"/>
    <n v="57230.302799999998"/>
    <n v="48571.903599999998"/>
    <n v="18360"/>
    <n v="14093.924800000001"/>
  </r>
  <r>
    <x v="2"/>
    <x v="1"/>
    <x v="0"/>
    <n v="1778"/>
    <n v="169171.36600000001"/>
    <n v="118232.55500000001"/>
    <n v="109083.67819999999"/>
    <n v="18360"/>
    <n v="32578.811000000002"/>
  </r>
  <r>
    <x v="2"/>
    <x v="1"/>
    <x v="1"/>
    <n v="2683"/>
    <n v="51150.321799999998"/>
    <n v="35109.738000000005"/>
    <n v="27429.3822"/>
    <n v="18360"/>
    <n v="-2319.4162000000069"/>
  </r>
  <r>
    <x v="2"/>
    <x v="1"/>
    <x v="2"/>
    <n v="2179"/>
    <n v="93460.3606"/>
    <n v="59479.291400000002"/>
    <n v="50480.457199999997"/>
    <n v="18360"/>
    <n v="15621.069199999998"/>
  </r>
  <r>
    <x v="2"/>
    <x v="2"/>
    <x v="0"/>
    <n v="2188"/>
    <n v="204509.51559999998"/>
    <n v="151549.41320000001"/>
    <n v="139822.38959999999"/>
    <n v="18360"/>
    <n v="34600.102399999974"/>
  </r>
  <r>
    <x v="2"/>
    <x v="2"/>
    <x v="1"/>
    <n v="2607"/>
    <n v="48532.433399999994"/>
    <n v="34127.715599999996"/>
    <n v="26662.310399999998"/>
    <n v="18360"/>
    <n v="-3955.2822000000015"/>
  </r>
  <r>
    <x v="2"/>
    <x v="2"/>
    <x v="2"/>
    <n v="2334"/>
    <n v="104736.8496"/>
    <n v="64137.153000000006"/>
    <n v="54433.7814"/>
    <n v="18360"/>
    <n v="22239.696599999996"/>
  </r>
  <r>
    <x v="3"/>
    <x v="0"/>
    <x v="0"/>
    <n v="1726"/>
    <n v="164403.91640000002"/>
    <n v="120896.6344"/>
    <n v="111541.54180000001"/>
    <n v="18450"/>
    <n v="25057.282000000021"/>
  </r>
  <r>
    <x v="3"/>
    <x v="0"/>
    <x v="1"/>
    <n v="2854"/>
    <n v="54049.62279999999"/>
    <n v="38633.171000000002"/>
    <n v="30182.191600000002"/>
    <n v="18450"/>
    <n v="-3033.548200000012"/>
  </r>
  <r>
    <x v="3"/>
    <x v="0"/>
    <x v="2"/>
    <n v="2197"/>
    <n v="93653.056899999996"/>
    <n v="59981.6152"/>
    <n v="50906.9067"/>
    <n v="18450"/>
    <n v="15221.441699999996"/>
  </r>
  <r>
    <x v="3"/>
    <x v="1"/>
    <x v="0"/>
    <n v="1641"/>
    <n v="155906.65109999999"/>
    <n v="115934.02439999999"/>
    <n v="106962.84149999999"/>
    <n v="18450"/>
    <n v="21522.626699999993"/>
  </r>
  <r>
    <x v="3"/>
    <x v="1"/>
    <x v="1"/>
    <n v="2441"/>
    <n v="45008.622600000002"/>
    <n v="30588.903300000002"/>
    <n v="23897.39"/>
    <n v="18450"/>
    <n v="-4030.2806999999993"/>
  </r>
  <r>
    <x v="3"/>
    <x v="1"/>
    <x v="2"/>
    <n v="2037"/>
    <n v="87670.442999999999"/>
    <n v="58503.251100000001"/>
    <n v="49652.282399999996"/>
    <n v="18450"/>
    <n v="10717.191899999998"/>
  </r>
  <r>
    <x v="3"/>
    <x v="2"/>
    <x v="0"/>
    <n v="2182"/>
    <n v="200177.55279999998"/>
    <n v="151947.4976"/>
    <n v="140189.5724"/>
    <n v="18450"/>
    <n v="29780.055199999973"/>
  </r>
  <r>
    <x v="3"/>
    <x v="2"/>
    <x v="1"/>
    <n v="2820"/>
    <n v="52063.404000000002"/>
    <n v="36527.46"/>
    <n v="28537.272000000004"/>
    <n v="18450"/>
    <n v="-2914.0559999999969"/>
  </r>
  <r>
    <x v="3"/>
    <x v="2"/>
    <x v="2"/>
    <n v="2475"/>
    <n v="108597.06"/>
    <n v="66916.822499999995"/>
    <n v="56792.834999999999"/>
    <n v="18450"/>
    <n v="23230.237500000003"/>
  </r>
  <r>
    <x v="4"/>
    <x v="0"/>
    <x v="0"/>
    <n v="1932"/>
    <n v="183822.26520000002"/>
    <n v="128271.276"/>
    <n v="118345.62599999999"/>
    <n v="18540"/>
    <n v="37010.989200000025"/>
  </r>
  <r>
    <x v="4"/>
    <x v="0"/>
    <x v="1"/>
    <n v="2605"/>
    <n v="47764.498500000002"/>
    <n v="33429.183500000006"/>
    <n v="26116.427499999998"/>
    <n v="18540"/>
    <n v="-4204.6850000000049"/>
  </r>
  <r>
    <x v="4"/>
    <x v="0"/>
    <x v="2"/>
    <n v="2354"/>
    <n v="103302.936"/>
    <n v="66420.699399999998"/>
    <n v="56371.708799999993"/>
    <n v="18540"/>
    <n v="18342.236600000004"/>
  </r>
  <r>
    <x v="4"/>
    <x v="1"/>
    <x v="0"/>
    <n v="1709"/>
    <n v="165964.0662"/>
    <n v="120523.63610000002"/>
    <n v="111197.28130000002"/>
    <n v="18540"/>
    <n v="26900.430099999983"/>
  </r>
  <r>
    <x v="4"/>
    <x v="1"/>
    <x v="1"/>
    <n v="2644"/>
    <n v="51101.645600000003"/>
    <n v="33855.626800000005"/>
    <n v="26449.782800000001"/>
    <n v="18540"/>
    <n v="-1293.981200000002"/>
  </r>
  <r>
    <x v="4"/>
    <x v="1"/>
    <x v="2"/>
    <n v="1979"/>
    <n v="86643.588500000013"/>
    <n v="53104.485999999997"/>
    <n v="45070.339699999997"/>
    <n v="18540"/>
    <n v="14999.102500000015"/>
  </r>
  <r>
    <x v="4"/>
    <x v="2"/>
    <x v="0"/>
    <n v="1828"/>
    <n v="177262.8052"/>
    <n v="128945.8404"/>
    <n v="118967.88519999999"/>
    <n v="18540"/>
    <n v="29776.964800000002"/>
  </r>
  <r>
    <x v="4"/>
    <x v="2"/>
    <x v="1"/>
    <n v="2955"/>
    <n v="57369.847500000003"/>
    <n v="37153.805999999997"/>
    <n v="29026.374000000003"/>
    <n v="18540"/>
    <n v="1676.0415000000066"/>
  </r>
  <r>
    <x v="4"/>
    <x v="2"/>
    <x v="2"/>
    <n v="2549"/>
    <n v="110299.81819999999"/>
    <n v="67690.989100000006"/>
    <n v="57449.871800000001"/>
    <n v="18540"/>
    <n v="24068.829099999988"/>
  </r>
  <r>
    <x v="5"/>
    <x v="0"/>
    <x v="0"/>
    <n v="1848"/>
    <n v="171646.30559999999"/>
    <n v="126773.724"/>
    <n v="116963.8008"/>
    <n v="18360"/>
    <n v="26512.58159999999"/>
  </r>
  <r>
    <x v="5"/>
    <x v="0"/>
    <x v="1"/>
    <n v="2853"/>
    <n v="54423.542700000005"/>
    <n v="36965.465100000001"/>
    <n v="28879.207200000001"/>
    <n v="18360"/>
    <n v="-901.92239999999583"/>
  </r>
  <r>
    <x v="5"/>
    <x v="0"/>
    <x v="2"/>
    <n v="2339"/>
    <n v="100555.94900000001"/>
    <n v="63481.629499999995"/>
    <n v="53877.461600000002"/>
    <n v="18360"/>
    <n v="18714.319500000012"/>
  </r>
  <r>
    <x v="5"/>
    <x v="1"/>
    <x v="0"/>
    <n v="1720"/>
    <n v="158359.54"/>
    <n v="120167.11199999999"/>
    <n v="110868.44799999999"/>
    <n v="18360"/>
    <n v="19832.428000000014"/>
  </r>
  <r>
    <x v="5"/>
    <x v="1"/>
    <x v="1"/>
    <n v="2461"/>
    <n v="45866.1492"/>
    <n v="33049.261200000001"/>
    <n v="25819.827599999997"/>
    <n v="18360"/>
    <n v="-5543.112000000001"/>
  </r>
  <r>
    <x v="5"/>
    <x v="1"/>
    <x v="2"/>
    <n v="2195"/>
    <n v="93943.805000000008"/>
    <n v="60400.473499999993"/>
    <n v="51262.468999999997"/>
    <n v="18360"/>
    <n v="15183.331500000015"/>
  </r>
  <r>
    <x v="5"/>
    <x v="2"/>
    <x v="0"/>
    <n v="2037"/>
    <n v="188146.8939"/>
    <n v="136078.72950000002"/>
    <n v="125548.8654"/>
    <n v="18360"/>
    <n v="33708.16439999998"/>
  </r>
  <r>
    <x v="5"/>
    <x v="2"/>
    <x v="1"/>
    <n v="2582"/>
    <n v="47549.853799999997"/>
    <n v="33996.161200000002"/>
    <n v="26559.484799999998"/>
    <n v="18360"/>
    <n v="-4806.3074000000051"/>
  </r>
  <r>
    <x v="5"/>
    <x v="2"/>
    <x v="2"/>
    <n v="2305"/>
    <n v="101450.1955"/>
    <n v="62125.743000000002"/>
    <n v="52726.644500000002"/>
    <n v="18360"/>
    <n v="20964.452499999999"/>
  </r>
  <r>
    <x v="6"/>
    <x v="0"/>
    <x v="0"/>
    <n v="1905"/>
    <n v="179773.326"/>
    <n v="133353.23850000001"/>
    <n v="123034.23450000001"/>
    <n v="18450"/>
    <n v="27970.087499999994"/>
  </r>
  <r>
    <x v="6"/>
    <x v="0"/>
    <x v="1"/>
    <n v="2551"/>
    <n v="48004.462900000006"/>
    <n v="33132.643100000001"/>
    <n v="25884.997000000003"/>
    <n v="18450"/>
    <n v="-3578.1801999999952"/>
  </r>
  <r>
    <x v="6"/>
    <x v="0"/>
    <x v="2"/>
    <n v="2375"/>
    <n v="102036.41249999999"/>
    <n v="63283.775000000009"/>
    <n v="53709.4375"/>
    <n v="18450"/>
    <n v="20302.637499999983"/>
  </r>
  <r>
    <x v="6"/>
    <x v="1"/>
    <x v="0"/>
    <n v="1629"/>
    <n v="157745.68109999999"/>
    <n v="114730.79579999999"/>
    <n v="105852.9087"/>
    <n v="18450"/>
    <n v="24564.885299999994"/>
  </r>
  <r>
    <x v="6"/>
    <x v="1"/>
    <x v="1"/>
    <n v="2292"/>
    <n v="42369.453600000008"/>
    <n v="30936.957600000002"/>
    <n v="24169.598399999995"/>
    <n v="18450"/>
    <n v="-7017.5039999999935"/>
  </r>
  <r>
    <x v="6"/>
    <x v="1"/>
    <x v="2"/>
    <n v="1896"/>
    <n v="81695.416799999992"/>
    <n v="53018.795999999995"/>
    <n v="44997.578399999999"/>
    <n v="18450"/>
    <n v="10226.620799999997"/>
  </r>
  <r>
    <x v="6"/>
    <x v="2"/>
    <x v="0"/>
    <n v="2126"/>
    <n v="203061.0632"/>
    <n v="151247.0416"/>
    <n v="139543.41160000002"/>
    <n v="18450"/>
    <n v="33364.021600000007"/>
  </r>
  <r>
    <x v="6"/>
    <x v="2"/>
    <x v="1"/>
    <n v="2946"/>
    <n v="54850.101000000002"/>
    <n v="37375.607400000001"/>
    <n v="29199.868200000001"/>
    <n v="18450"/>
    <n v="-975.50639999999839"/>
  </r>
  <r>
    <x v="6"/>
    <x v="2"/>
    <x v="2"/>
    <n v="2187"/>
    <n v="95184.582300000009"/>
    <n v="59495.366699999999"/>
    <n v="50494.112099999998"/>
    <n v="18450"/>
    <n v="17239.21560000001"/>
  </r>
  <r>
    <x v="7"/>
    <x v="0"/>
    <x v="0"/>
    <n v="2072"/>
    <n v="199824.50879999998"/>
    <n v="147225.75280000002"/>
    <n v="135833.2752"/>
    <n v="18540"/>
    <n v="34058.755999999965"/>
  </r>
  <r>
    <x v="7"/>
    <x v="0"/>
    <x v="1"/>
    <n v="2581"/>
    <n v="47951.6247"/>
    <n v="33336.970300000001"/>
    <n v="26044.612899999996"/>
    <n v="18540"/>
    <n v="-3925.3456000000006"/>
  </r>
  <r>
    <x v="7"/>
    <x v="0"/>
    <x v="2"/>
    <n v="2430"/>
    <n v="108622.45800000001"/>
    <n v="65137.607999999993"/>
    <n v="55282.743000000002"/>
    <n v="18540"/>
    <n v="24944.85000000002"/>
  </r>
  <r>
    <x v="7"/>
    <x v="1"/>
    <x v="0"/>
    <n v="1707"/>
    <n v="160594.04790000001"/>
    <n v="114558.47700000001"/>
    <n v="105693.8553"/>
    <n v="18540"/>
    <n v="27495.570899999992"/>
  </r>
  <r>
    <x v="7"/>
    <x v="1"/>
    <x v="1"/>
    <n v="2618"/>
    <n v="49643.563199999997"/>
    <n v="32816.629999999997"/>
    <n v="25638.073999999997"/>
    <n v="18540"/>
    <n v="-1713.0668000000005"/>
  </r>
  <r>
    <x v="7"/>
    <x v="1"/>
    <x v="2"/>
    <n v="1973"/>
    <n v="88582.570200000002"/>
    <n v="54145.630900000004"/>
    <n v="45953.734899999996"/>
    <n v="18540"/>
    <n v="15896.939299999998"/>
  </r>
  <r>
    <x v="7"/>
    <x v="2"/>
    <x v="0"/>
    <n v="1845"/>
    <n v="173125.75950000001"/>
    <n v="131268.2445"/>
    <n v="121110.59700000001"/>
    <n v="18540"/>
    <n v="23317.515000000014"/>
  </r>
  <r>
    <x v="7"/>
    <x v="2"/>
    <x v="1"/>
    <n v="2697"/>
    <n v="52392.731100000005"/>
    <n v="36579.411"/>
    <n v="28577.681700000001"/>
    <n v="18540"/>
    <n v="-2726.6798999999955"/>
  </r>
  <r>
    <x v="7"/>
    <x v="2"/>
    <x v="2"/>
    <n v="2269"/>
    <n v="101038.34309999998"/>
    <n v="62330.791400000002"/>
    <n v="52900.6005"/>
    <n v="18540"/>
    <n v="20167.551699999982"/>
  </r>
  <r>
    <x v="8"/>
    <x v="0"/>
    <x v="0"/>
    <n v="1910"/>
    <n v="180573.69200000001"/>
    <n v="134446.23699999999"/>
    <n v="124042.658"/>
    <n v="18360"/>
    <n v="27767.455000000016"/>
  </r>
  <r>
    <x v="8"/>
    <x v="0"/>
    <x v="1"/>
    <n v="2420"/>
    <n v="46012.186000000002"/>
    <n v="31979.332000000002"/>
    <n v="24983.838"/>
    <n v="18360"/>
    <n v="-4327.1460000000006"/>
  </r>
  <r>
    <x v="8"/>
    <x v="0"/>
    <x v="2"/>
    <n v="2075"/>
    <n v="93367.737499999988"/>
    <n v="55209.524999999994"/>
    <n v="46856.820000000007"/>
    <n v="18360"/>
    <n v="19798.212499999994"/>
  </r>
  <r>
    <x v="8"/>
    <x v="1"/>
    <x v="0"/>
    <n v="1745"/>
    <n v="167118.47550000003"/>
    <n v="115875.329"/>
    <n v="106908.821"/>
    <n v="18360"/>
    <n v="32883.146500000032"/>
  </r>
  <r>
    <x v="8"/>
    <x v="1"/>
    <x v="1"/>
    <n v="2457"/>
    <n v="47144.178899999992"/>
    <n v="30816.185399999998"/>
    <n v="24075.160200000002"/>
    <n v="18360"/>
    <n v="-2032.0065000000068"/>
  </r>
  <r>
    <x v="8"/>
    <x v="1"/>
    <x v="2"/>
    <n v="1993"/>
    <n v="89719.678199999995"/>
    <n v="55318.903799999993"/>
    <n v="46949.698900000003"/>
    <n v="18360"/>
    <n v="16040.774400000002"/>
  </r>
  <r>
    <x v="8"/>
    <x v="2"/>
    <x v="0"/>
    <n v="1919"/>
    <n v="177235.7696"/>
    <n v="135491.57070000001"/>
    <n v="125007.11420000001"/>
    <n v="18360"/>
    <n v="23384.198899999988"/>
  </r>
  <r>
    <x v="8"/>
    <x v="2"/>
    <x v="1"/>
    <n v="2695"/>
    <n v="51206.078000000001"/>
    <n v="35166.515999999996"/>
    <n v="27473.907999999999"/>
    <n v="18360"/>
    <n v="-2320.4379999999946"/>
  </r>
  <r>
    <x v="8"/>
    <x v="2"/>
    <x v="2"/>
    <n v="2260"/>
    <n v="99506.67"/>
    <n v="62939.192000000003"/>
    <n v="53417.133999999998"/>
    <n v="18360"/>
    <n v="18207.477999999996"/>
  </r>
  <r>
    <x v="9"/>
    <x v="0"/>
    <x v="0"/>
    <n v="1712"/>
    <n v="161419.68640000001"/>
    <n v="121934.11840000001"/>
    <n v="112498.77279999999"/>
    <n v="18450"/>
    <n v="21035.567999999999"/>
  </r>
  <r>
    <x v="9"/>
    <x v="0"/>
    <x v="1"/>
    <n v="2463"/>
    <n v="47779.490700000009"/>
    <n v="33098.779199999997"/>
    <n v="25858.2981"/>
    <n v="18450"/>
    <n v="-3769.2884999999878"/>
  </r>
  <r>
    <x v="9"/>
    <x v="0"/>
    <x v="2"/>
    <n v="2462"/>
    <n v="105012.67079999999"/>
    <n v="66261.036999999997"/>
    <n v="56236.265399999997"/>
    <n v="18450"/>
    <n v="20301.633799999996"/>
  </r>
  <r>
    <x v="9"/>
    <x v="1"/>
    <x v="0"/>
    <n v="1881"/>
    <n v="174630.72329999998"/>
    <n v="130938.1029"/>
    <n v="120805.90830000001"/>
    <n v="18450"/>
    <n v="25242.620399999985"/>
  </r>
  <r>
    <x v="9"/>
    <x v="1"/>
    <x v="1"/>
    <n v="2335"/>
    <n v="43653.759000000005"/>
    <n v="31050.829999999998"/>
    <n v="24258.548499999997"/>
    <n v="18450"/>
    <n v="-5847.0709999999926"/>
  </r>
  <r>
    <x v="9"/>
    <x v="1"/>
    <x v="2"/>
    <n v="1968"/>
    <n v="85617.643199999991"/>
    <n v="55044.369600000005"/>
    <n v="46716.777599999994"/>
    <n v="18450"/>
    <n v="12123.273599999986"/>
  </r>
  <r>
    <x v="9"/>
    <x v="2"/>
    <x v="0"/>
    <n v="2189"/>
    <n v="205287.26569999999"/>
    <n v="145395.56900000002"/>
    <n v="134144.76570000002"/>
    <n v="18450"/>
    <n v="41441.696699999971"/>
  </r>
  <r>
    <x v="9"/>
    <x v="2"/>
    <x v="1"/>
    <n v="3017"/>
    <n v="57565.868500000004"/>
    <n v="37677.804499999998"/>
    <n v="29435.662200000002"/>
    <n v="18450"/>
    <n v="1438.0640000000058"/>
  </r>
  <r>
    <x v="9"/>
    <x v="2"/>
    <x v="2"/>
    <n v="2550"/>
    <n v="113009.11500000001"/>
    <n v="70970.324999999997"/>
    <n v="60233.039999999994"/>
    <n v="18450"/>
    <n v="23588.790000000008"/>
  </r>
  <r>
    <x v="10"/>
    <x v="0"/>
    <x v="0"/>
    <n v="2590"/>
    <n v="248032.386"/>
    <n v="172708.71100000001"/>
    <n v="159344.57"/>
    <n v="18540"/>
    <n v="56783.674999999988"/>
  </r>
  <r>
    <x v="10"/>
    <x v="0"/>
    <x v="1"/>
    <n v="3787"/>
    <n v="73087.585200000001"/>
    <n v="47641.974799999996"/>
    <n v="37220.529500000004"/>
    <n v="18540"/>
    <n v="6905.610400000005"/>
  </r>
  <r>
    <x v="10"/>
    <x v="0"/>
    <x v="2"/>
    <n v="3098"/>
    <n v="133700.07619999998"/>
    <n v="85343.084399999992"/>
    <n v="72431.549799999993"/>
    <n v="18540"/>
    <n v="29816.991799999989"/>
  </r>
  <r>
    <x v="10"/>
    <x v="1"/>
    <x v="0"/>
    <n v="2482"/>
    <n v="231772.883"/>
    <n v="172025.6826"/>
    <n v="158714.22019999998"/>
    <n v="18540"/>
    <n v="41207.200400000002"/>
  </r>
  <r>
    <x v="10"/>
    <x v="1"/>
    <x v="1"/>
    <n v="3021"/>
    <n v="57295.379699999998"/>
    <n v="38597.202300000004"/>
    <n v="30154.111499999999"/>
    <n v="18540"/>
    <n v="158.17739999999321"/>
  </r>
  <r>
    <x v="10"/>
    <x v="1"/>
    <x v="2"/>
    <n v="3065"/>
    <n v="131226.4425"/>
    <n v="81799.946000000011"/>
    <n v="69424.395499999999"/>
    <n v="18540"/>
    <n v="30886.496499999994"/>
  </r>
  <r>
    <x v="10"/>
    <x v="2"/>
    <x v="0"/>
    <n v="2697"/>
    <n v="251500.9137"/>
    <n v="176762.18910000002"/>
    <n v="163084.0839"/>
    <n v="18540"/>
    <n v="56198.724599999987"/>
  </r>
  <r>
    <x v="10"/>
    <x v="2"/>
    <x v="1"/>
    <n v="3884"/>
    <n v="73655.787599999996"/>
    <n v="50279.545199999993"/>
    <n v="39280.834000000003"/>
    <n v="18540"/>
    <n v="4836.2424000000028"/>
  </r>
  <r>
    <x v="10"/>
    <x v="2"/>
    <x v="2"/>
    <n v="3400"/>
    <n v="150082.80000000002"/>
    <n v="91888.06"/>
    <n v="77986.14"/>
    <n v="18540"/>
    <n v="39654.74000000002"/>
  </r>
  <r>
    <x v="11"/>
    <x v="0"/>
    <x v="0"/>
    <n v="2435"/>
    <n v="235706.052"/>
    <n v="170614.36249999999"/>
    <n v="157412.03600000002"/>
    <n v="18360"/>
    <n v="46731.689500000008"/>
  </r>
  <r>
    <x v="11"/>
    <x v="0"/>
    <x v="1"/>
    <n v="3313"/>
    <n v="61132.138600000006"/>
    <n v="44158.314399999996"/>
    <n v="34498.600299999998"/>
    <n v="18360"/>
    <n v="-1386.17579999999"/>
  </r>
  <r>
    <x v="11"/>
    <x v="0"/>
    <x v="2"/>
    <n v="3240"/>
    <n v="145259.568"/>
    <n v="87176.736000000004"/>
    <n v="73987.667999999991"/>
    <n v="18360"/>
    <n v="39722.831999999995"/>
  </r>
  <r>
    <x v="11"/>
    <x v="1"/>
    <x v="0"/>
    <n v="2093"/>
    <n v="192773.4627"/>
    <n v="147691.07990000001"/>
    <n v="136262.67199999999"/>
    <n v="18360"/>
    <n v="26722.382799999992"/>
  </r>
  <r>
    <x v="11"/>
    <x v="1"/>
    <x v="1"/>
    <n v="3345"/>
    <n v="61895.210999999996"/>
    <n v="42209.551500000001"/>
    <n v="32976.013500000001"/>
    <n v="18360"/>
    <n v="1325.6594999999943"/>
  </r>
  <r>
    <x v="11"/>
    <x v="1"/>
    <x v="2"/>
    <n v="3044"/>
    <n v="133632.81759999998"/>
    <n v="86282.18"/>
    <n v="73228.290399999998"/>
    <n v="18360"/>
    <n v="28990.637599999987"/>
  </r>
  <r>
    <x v="11"/>
    <x v="2"/>
    <x v="0"/>
    <n v="2958"/>
    <n v="278026.5612"/>
    <n v="204294.8616"/>
    <n v="188486.4222"/>
    <n v="18360"/>
    <n v="55371.699599999993"/>
  </r>
  <r>
    <x v="11"/>
    <x v="2"/>
    <x v="1"/>
    <n v="4064"/>
    <n v="78269.795199999993"/>
    <n v="54616.096000000005"/>
    <n v="42668.748800000001"/>
    <n v="18360"/>
    <n v="5293.6991999999882"/>
  </r>
  <r>
    <x v="11"/>
    <x v="2"/>
    <x v="2"/>
    <n v="2989"/>
    <n v="134250.6361"/>
    <n v="84929.744899999991"/>
    <n v="72080.631699999998"/>
    <n v="18360"/>
    <n v="30960.891200000013"/>
  </r>
  <r>
    <x v="12"/>
    <x v="0"/>
    <x v="0"/>
    <n v="1615"/>
    <n v="157644.67199999999"/>
    <n v="113735.2445"/>
    <n v="104934.30200000001"/>
    <n v="18450"/>
    <n v="25459.427499999991"/>
  </r>
  <r>
    <x v="12"/>
    <x v="0"/>
    <x v="1"/>
    <n v="2325"/>
    <n v="45184.282500000001"/>
    <n v="29591.670000000002"/>
    <n v="23118.637499999997"/>
    <n v="18450"/>
    <n v="-2857.3875000000007"/>
  </r>
  <r>
    <x v="12"/>
    <x v="0"/>
    <x v="2"/>
    <n v="1970"/>
    <n v="88771.942999999999"/>
    <n v="54141.116000000002"/>
    <n v="45950.053"/>
    <n v="18450"/>
    <n v="16180.826999999997"/>
  </r>
  <r>
    <x v="12"/>
    <x v="1"/>
    <x v="0"/>
    <n v="1456"/>
    <n v="140987.6832"/>
    <n v="98159.734400000001"/>
    <n v="90564.073600000003"/>
    <n v="18450"/>
    <n v="24377.948799999998"/>
  </r>
  <r>
    <x v="12"/>
    <x v="1"/>
    <x v="1"/>
    <n v="2426"/>
    <n v="45670.905600000006"/>
    <n v="32354.834200000001"/>
    <n v="25277.221799999999"/>
    <n v="18450"/>
    <n v="-5133.9285999999956"/>
  </r>
  <r>
    <x v="12"/>
    <x v="1"/>
    <x v="2"/>
    <n v="2121"/>
    <n v="95495.267699999997"/>
    <n v="60263.760900000001"/>
    <n v="51146.218200000003"/>
    <n v="18450"/>
    <n v="16781.506799999996"/>
  </r>
  <r>
    <x v="12"/>
    <x v="2"/>
    <x v="0"/>
    <n v="1713"/>
    <n v="160514.26679999998"/>
    <n v="115447.63499999999"/>
    <n v="106514.16870000001"/>
    <n v="18450"/>
    <n v="26616.631799999988"/>
  </r>
  <r>
    <x v="12"/>
    <x v="2"/>
    <x v="1"/>
    <n v="2640"/>
    <n v="50103.240000000005"/>
    <n v="35765.4"/>
    <n v="27941.759999999998"/>
    <n v="18450"/>
    <n v="-4112.1599999999962"/>
  </r>
  <r>
    <x v="12"/>
    <x v="2"/>
    <x v="2"/>
    <n v="2401"/>
    <n v="109155.94269999999"/>
    <n v="64984.265500000001"/>
    <n v="55152.650699999998"/>
    <n v="18450"/>
    <n v="25721.677199999984"/>
  </r>
  <r>
    <x v="13"/>
    <x v="0"/>
    <x v="0"/>
    <n v="1841"/>
    <n v="173785.9816"/>
    <n v="126997.15069999998"/>
    <n v="117169.8927"/>
    <n v="18540"/>
    <n v="28248.830900000015"/>
  </r>
  <r>
    <x v="13"/>
    <x v="0"/>
    <x v="1"/>
    <n v="2300"/>
    <n v="44469.119999999995"/>
    <n v="28708.14"/>
    <n v="22428.22"/>
    <n v="18540"/>
    <n v="-2779.0200000000041"/>
  </r>
  <r>
    <x v="13"/>
    <x v="0"/>
    <x v="2"/>
    <n v="2095"/>
    <n v="91995.011500000008"/>
    <n v="58137.716500000002"/>
    <n v="49341.858999999997"/>
    <n v="18540"/>
    <n v="15317.295000000006"/>
  </r>
  <r>
    <x v="13"/>
    <x v="1"/>
    <x v="0"/>
    <n v="1627"/>
    <n v="159444.21030000001"/>
    <n v="107672.90759999999"/>
    <n v="99341.203299999994"/>
    <n v="18540"/>
    <n v="33231.302700000015"/>
  </r>
  <r>
    <x v="13"/>
    <x v="1"/>
    <x v="1"/>
    <n v="2169"/>
    <n v="40437.1008"/>
    <n v="28094.623199999998"/>
    <n v="21948.978600000002"/>
    <n v="18540"/>
    <n v="-6197.522399999998"/>
  </r>
  <r>
    <x v="13"/>
    <x v="1"/>
    <x v="2"/>
    <n v="2137"/>
    <n v="92661.815900000001"/>
    <n v="61203.0389"/>
    <n v="51943.631600000001"/>
    <n v="18540"/>
    <n v="12918.777000000002"/>
  </r>
  <r>
    <x v="13"/>
    <x v="2"/>
    <x v="0"/>
    <n v="2067"/>
    <n v="197794.53719999999"/>
    <n v="143923.96980000002"/>
    <n v="132786.97380000001"/>
    <n v="18540"/>
    <n v="35330.567399999971"/>
  </r>
  <r>
    <x v="13"/>
    <x v="2"/>
    <x v="1"/>
    <n v="2337"/>
    <n v="45064.838400000001"/>
    <n v="30005.444100000001"/>
    <n v="23441.745899999998"/>
    <n v="18540"/>
    <n v="-3480.6057000000001"/>
  </r>
  <r>
    <x v="13"/>
    <x v="2"/>
    <x v="2"/>
    <n v="2345"/>
    <n v="104757.716"/>
    <n v="63928.217500000006"/>
    <n v="54256.499499999998"/>
    <n v="18540"/>
    <n v="22289.498499999994"/>
  </r>
  <r>
    <x v="14"/>
    <x v="0"/>
    <x v="0"/>
    <n v="1921"/>
    <n v="188268.37339999998"/>
    <n v="133295.8848"/>
    <n v="122981.45949999998"/>
    <n v="18360"/>
    <n v="36612.488599999982"/>
  </r>
  <r>
    <x v="14"/>
    <x v="0"/>
    <x v="1"/>
    <n v="2718"/>
    <n v="50334.098399999995"/>
    <n v="34769.1996"/>
    <n v="27163.4202"/>
    <n v="18360"/>
    <n v="-2795.1012000000046"/>
  </r>
  <r>
    <x v="14"/>
    <x v="0"/>
    <x v="2"/>
    <n v="2516"/>
    <n v="112026.91279999999"/>
    <n v="68223.101200000005"/>
    <n v="57901.714399999997"/>
    <n v="18360"/>
    <n v="25443.811599999986"/>
  </r>
  <r>
    <x v="14"/>
    <x v="1"/>
    <x v="0"/>
    <n v="1725"/>
    <n v="168142.30499999999"/>
    <n v="120113.82"/>
    <n v="110819.3475"/>
    <n v="18360"/>
    <n v="29668.484999999986"/>
  </r>
  <r>
    <x v="14"/>
    <x v="1"/>
    <x v="1"/>
    <n v="2482"/>
    <n v="46807.541599999997"/>
    <n v="31319.116999999998"/>
    <n v="24468.0524"/>
    <n v="18360"/>
    <n v="-2871.5754000000015"/>
  </r>
  <r>
    <x v="14"/>
    <x v="1"/>
    <x v="2"/>
    <n v="2075"/>
    <n v="90696.797500000001"/>
    <n v="56778.64"/>
    <n v="48188.555"/>
    <n v="18360"/>
    <n v="15558.157500000001"/>
  </r>
  <r>
    <x v="14"/>
    <x v="2"/>
    <x v="0"/>
    <n v="2081"/>
    <n v="199631.7867"/>
    <n v="144129.4357"/>
    <n v="132976.52429999999"/>
    <n v="18360"/>
    <n v="37142.350999999995"/>
  </r>
  <r>
    <x v="14"/>
    <x v="2"/>
    <x v="1"/>
    <n v="2834"/>
    <n v="55421.704000000005"/>
    <n v="37822.847399999999"/>
    <n v="29548.984400000005"/>
    <n v="18360"/>
    <n v="-761.14339999999356"/>
  </r>
  <r>
    <x v="14"/>
    <x v="2"/>
    <x v="2"/>
    <n v="2463"/>
    <n v="108528.6468"/>
    <n v="66291.152399999992"/>
    <n v="56261.816400000003"/>
    <n v="18360"/>
    <n v="23877.494400000011"/>
  </r>
  <r>
    <x v="15"/>
    <x v="0"/>
    <x v="0"/>
    <n v="1831"/>
    <n v="169793.02439999999"/>
    <n v="122527.7735"/>
    <n v="113046.48929999999"/>
    <n v="18450"/>
    <n v="28815.250899999999"/>
  </r>
  <r>
    <x v="15"/>
    <x v="0"/>
    <x v="1"/>
    <n v="2644"/>
    <n v="50879.814000000006"/>
    <n v="33556.326000000001"/>
    <n v="26216.053200000002"/>
    <n v="18450"/>
    <n v="-1126.5119999999952"/>
  </r>
  <r>
    <x v="15"/>
    <x v="0"/>
    <x v="2"/>
    <n v="2310"/>
    <n v="104297.193"/>
    <n v="61423.593000000001"/>
    <n v="52130.693999999996"/>
    <n v="18450"/>
    <n v="24423.599999999999"/>
  </r>
  <r>
    <x v="15"/>
    <x v="1"/>
    <x v="0"/>
    <n v="1672"/>
    <n v="155629.59279999998"/>
    <n v="114472.30959999999"/>
    <n v="105614.22080000001"/>
    <n v="18450"/>
    <n v="22707.283199999991"/>
  </r>
  <r>
    <x v="15"/>
    <x v="1"/>
    <x v="1"/>
    <n v="2665"/>
    <n v="51415.845000000001"/>
    <n v="33910.525999999998"/>
    <n v="26492.498499999998"/>
    <n v="18450"/>
    <n v="-944.68099999999686"/>
  </r>
  <r>
    <x v="15"/>
    <x v="1"/>
    <x v="2"/>
    <n v="2224"/>
    <n v="97362.939200000008"/>
    <n v="62956.324800000002"/>
    <n v="53431.599999999991"/>
    <n v="18450"/>
    <n v="15956.614400000006"/>
  </r>
  <r>
    <x v="15"/>
    <x v="2"/>
    <x v="0"/>
    <n v="2197"/>
    <n v="209677.06630000001"/>
    <n v="147009.17920000001"/>
    <n v="135633.5526"/>
    <n v="18450"/>
    <n v="44217.887099999993"/>
  </r>
  <r>
    <x v="15"/>
    <x v="2"/>
    <x v="1"/>
    <n v="3009"/>
    <n v="56091.06990000001"/>
    <n v="38944.2834"/>
    <n v="30425.202600000001"/>
    <n v="18450"/>
    <n v="-1303.2134999999907"/>
  </r>
  <r>
    <x v="15"/>
    <x v="2"/>
    <x v="2"/>
    <n v="2561"/>
    <n v="109865.3634"/>
    <n v="72098.040300000008"/>
    <n v="61190.229100000004"/>
    <n v="18450"/>
    <n v="19317.323099999994"/>
  </r>
  <r>
    <x v="16"/>
    <x v="0"/>
    <x v="0"/>
    <n v="2150"/>
    <n v="206442.57"/>
    <n v="152535.19"/>
    <n v="140731.905"/>
    <n v="18540"/>
    <n v="35367.380000000005"/>
  </r>
  <r>
    <x v="16"/>
    <x v="0"/>
    <x v="1"/>
    <n v="2694"/>
    <n v="52464.841799999995"/>
    <n v="35227.013400000003"/>
    <n v="27521.095799999999"/>
    <n v="18540"/>
    <n v="-1302.1716000000088"/>
  </r>
  <r>
    <x v="16"/>
    <x v="0"/>
    <x v="2"/>
    <n v="2510"/>
    <n v="111740.682"/>
    <n v="70479.042999999991"/>
    <n v="59816.311999999998"/>
    <n v="18540"/>
    <n v="22721.63900000001"/>
  </r>
  <r>
    <x v="16"/>
    <x v="1"/>
    <x v="0"/>
    <n v="1674"/>
    <n v="164230.78320000001"/>
    <n v="114633.1764"/>
    <n v="105762.6504"/>
    <n v="18540"/>
    <n v="31057.606800000009"/>
  </r>
  <r>
    <x v="16"/>
    <x v="1"/>
    <x v="1"/>
    <n v="2511"/>
    <n v="48816.602099999996"/>
    <n v="33161.0193"/>
    <n v="25906.991399999999"/>
    <n v="18540"/>
    <n v="-2884.4172000000035"/>
  </r>
  <r>
    <x v="16"/>
    <x v="1"/>
    <x v="2"/>
    <n v="1963"/>
    <n v="85486.883300000016"/>
    <n v="55703.265800000001"/>
    <n v="47275.910499999998"/>
    <n v="18540"/>
    <n v="11243.617500000015"/>
  </r>
  <r>
    <x v="16"/>
    <x v="2"/>
    <x v="0"/>
    <n v="2285"/>
    <n v="221354.80500000002"/>
    <n v="155908.52050000001"/>
    <n v="143844.17750000002"/>
    <n v="18540"/>
    <n v="46906.284500000009"/>
  </r>
  <r>
    <x v="16"/>
    <x v="2"/>
    <x v="1"/>
    <n v="3007"/>
    <n v="57489.6302"/>
    <n v="39577.833299999998"/>
    <n v="30920.0789"/>
    <n v="18540"/>
    <n v="-628.20309999999881"/>
  </r>
  <r>
    <x v="16"/>
    <x v="2"/>
    <x v="2"/>
    <n v="2357"/>
    <n v="102632.73659999999"/>
    <n v="65740.029800000004"/>
    <n v="55793.961200000005"/>
    <n v="18540"/>
    <n v="18352.706799999985"/>
  </r>
  <r>
    <x v="17"/>
    <x v="0"/>
    <x v="0"/>
    <n v="2036"/>
    <n v="189269.614"/>
    <n v="138138.93520000001"/>
    <n v="127449.52800000001"/>
    <n v="18360"/>
    <n v="32770.678799999994"/>
  </r>
  <r>
    <x v="17"/>
    <x v="0"/>
    <x v="1"/>
    <n v="2647"/>
    <n v="51775.849399999992"/>
    <n v="34716.728500000005"/>
    <n v="27122.485499999999"/>
    <n v="18360"/>
    <n v="-1300.8791000000128"/>
  </r>
  <r>
    <x v="17"/>
    <x v="0"/>
    <x v="2"/>
    <n v="2343"/>
    <n v="103076.06760000001"/>
    <n v="63024.1227"/>
    <n v="53489.284200000002"/>
    <n v="18360"/>
    <n v="21691.94490000001"/>
  </r>
  <r>
    <x v="17"/>
    <x v="1"/>
    <x v="0"/>
    <n v="1711"/>
    <n v="159187.67580000003"/>
    <n v="114897.24310000001"/>
    <n v="106006.3738"/>
    <n v="18360"/>
    <n v="25930.432700000019"/>
  </r>
  <r>
    <x v="17"/>
    <x v="1"/>
    <x v="1"/>
    <n v="2344"/>
    <n v="44031.102400000003"/>
    <n v="31022.839999999997"/>
    <n v="24236.725599999998"/>
    <n v="18360"/>
    <n v="-5351.7375999999931"/>
  </r>
  <r>
    <x v="17"/>
    <x v="1"/>
    <x v="2"/>
    <n v="2062"/>
    <n v="90185.900200000004"/>
    <n v="57048.735399999998"/>
    <n v="48417.822"/>
    <n v="18360"/>
    <n v="14777.164800000006"/>
  </r>
  <r>
    <x v="17"/>
    <x v="2"/>
    <x v="0"/>
    <n v="2197"/>
    <n v="214260.228"/>
    <n v="153555.14069999999"/>
    <n v="141672.88589999999"/>
    <n v="18360"/>
    <n v="42345.087300000014"/>
  </r>
  <r>
    <x v="17"/>
    <x v="2"/>
    <x v="1"/>
    <n v="3000"/>
    <n v="58503"/>
    <n v="40551.9"/>
    <n v="31681.199999999997"/>
    <n v="18360"/>
    <n v="-408.90000000000146"/>
  </r>
  <r>
    <x v="17"/>
    <x v="2"/>
    <x v="2"/>
    <n v="2419"/>
    <n v="103775.8257"/>
    <n v="65876.143199999991"/>
    <n v="55909.621299999999"/>
    <n v="18360"/>
    <n v="19539.6825000000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FE37C1-6076-4197-BA88-DB9DC059018D}" name="RetailSegmentReview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5:K26" firstHeaderRow="1" firstDataRow="3" firstDataCol="1" rowPageCount="1" colPageCount="1"/>
  <pivotFields count="9">
    <pivotField axis="axisRow" showAll="0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axis="axisPage" showAll="0">
      <items count="4">
        <item x="0"/>
        <item x="1"/>
        <item x="2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dataField="1" numFmtId="165" showAll="0"/>
    <pivotField numFmtId="165" showAll="0"/>
    <pivotField numFmtId="165" showAll="0"/>
    <pivotField numFmtId="165" showAll="0"/>
    <pivotField dataField="1" numFmtId="165" showAll="0"/>
  </pivotFields>
  <rowFields count="1">
    <field x="0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Fields count="2">
    <field x="2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pageFields count="1">
    <pageField fld="1" hier="-1"/>
  </pageFields>
  <dataFields count="2">
    <dataField name="Revenue USD" fld="4" baseField="0" baseItem="0" numFmtId="165"/>
    <dataField name="EBITDA USD" fld="8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44"/>
  <sheetViews>
    <sheetView showGridLines="0" tabSelected="1" workbookViewId="0"/>
  </sheetViews>
  <sheetFormatPr defaultRowHeight="14"/>
  <cols>
    <col min="1" max="2" width="2" customWidth="1"/>
    <col min="3" max="3" width="31" customWidth="1"/>
    <col min="4" max="16" width="14" customWidth="1"/>
  </cols>
  <sheetData>
    <row r="1" spans="1:16" ht="13.4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13.4" customHeight="1">
      <c r="A2" s="1"/>
      <c r="B2" s="1"/>
      <c r="C2" s="2" t="s">
        <v>0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13.4" customHeight="1">
      <c r="A3" s="1"/>
      <c r="B3" s="1"/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ht="13.4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16" customHeight="1">
      <c r="A5" s="1"/>
      <c r="B5" s="1"/>
      <c r="C5" s="4" t="s">
        <v>2</v>
      </c>
      <c r="D5" s="4" t="s">
        <v>3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13.4" customHeight="1">
      <c r="A6" s="1"/>
      <c r="B6" s="1"/>
      <c r="C6" s="1" t="s">
        <v>4</v>
      </c>
      <c r="D6" s="11" t="str">
        <f>Assumptions!C12</f>
        <v>Base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1:16" ht="13.4" customHeight="1">
      <c r="A7" s="1"/>
      <c r="B7" s="1"/>
      <c r="C7" s="1" t="s">
        <v>5</v>
      </c>
      <c r="D7" s="12">
        <f>SUM(Forecast!H5:H16)</f>
        <v>13837306.4133798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 ht="13.4" customHeight="1">
      <c r="A8" s="1"/>
      <c r="B8" s="1"/>
      <c r="C8" s="1" t="s">
        <v>6</v>
      </c>
      <c r="D8" s="12">
        <f>SUM(Forecast!L5:L16)</f>
        <v>2224186.6018308406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 ht="13.4" customHeight="1">
      <c r="A9" s="1"/>
      <c r="B9" s="1"/>
      <c r="C9" s="1" t="s">
        <v>7</v>
      </c>
      <c r="D9" s="12">
        <f>SUM(Forecast!T5:T16)</f>
        <v>1396729.479985981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spans="1:16" ht="13.4" customHeight="1">
      <c r="A10" s="1"/>
      <c r="B10" s="1"/>
      <c r="C10" s="1" t="s">
        <v>8</v>
      </c>
      <c r="D10" s="12">
        <f>Forecast!V16</f>
        <v>2296729.4799859812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 ht="13.4" customHeight="1">
      <c r="A11" s="1"/>
      <c r="B11" s="1"/>
      <c r="C11" s="1" t="s">
        <v>9</v>
      </c>
      <c r="D11" s="12">
        <f>'Variance bridge'!D11-'Variance bridge'!D5</f>
        <v>-319865.13080000225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 ht="13.4" customHeight="1">
      <c r="A12" s="1"/>
      <c r="B12" s="1"/>
      <c r="C12" s="1" t="s">
        <v>10</v>
      </c>
      <c r="D12" s="6">
        <v>2.8371890004364905E-2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 ht="13.4" customHeight="1">
      <c r="A13" s="1"/>
      <c r="B13" s="1"/>
      <c r="C13" s="1" t="s">
        <v>11</v>
      </c>
      <c r="D13" s="6">
        <v>0.25317279263401504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 ht="13.4" customHeight="1">
      <c r="A14" s="1"/>
      <c r="B14" s="1"/>
      <c r="C14" s="1" t="s">
        <v>12</v>
      </c>
      <c r="D14" s="1">
        <v>3240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6" ht="13.4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1:16" ht="13.4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6" ht="13.4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1:16" ht="13.4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 ht="13.4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 ht="13.4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 ht="16" customHeight="1">
      <c r="A21" s="1"/>
      <c r="B21" s="1"/>
      <c r="C21" s="4" t="s">
        <v>13</v>
      </c>
      <c r="D21" s="4" t="s">
        <v>14</v>
      </c>
      <c r="E21" s="4" t="s">
        <v>15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 ht="13.4" customHeight="1">
      <c r="A22" s="1"/>
      <c r="B22" s="1"/>
      <c r="C22" s="1" t="s">
        <v>16</v>
      </c>
      <c r="D22" s="10">
        <v>857947.11600000004</v>
      </c>
      <c r="E22" s="10">
        <v>88637.011100000032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 ht="13.4" customHeight="1">
      <c r="A23" s="1"/>
      <c r="B23" s="1"/>
      <c r="C23" s="1" t="s">
        <v>17</v>
      </c>
      <c r="D23" s="10">
        <v>872546.50179999997</v>
      </c>
      <c r="E23" s="10">
        <v>104709.64360000001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 ht="13.4" customHeight="1">
      <c r="A24" s="1"/>
      <c r="B24" s="1"/>
      <c r="C24" s="1" t="s">
        <v>18</v>
      </c>
      <c r="D24" s="10">
        <v>995053.26229999994</v>
      </c>
      <c r="E24" s="10">
        <v>140331.13319999995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 ht="13.4" customHeight="1">
      <c r="A25" s="1"/>
      <c r="B25" s="1"/>
      <c r="C25" s="1" t="s">
        <v>19</v>
      </c>
      <c r="D25" s="10">
        <v>961530.32959999994</v>
      </c>
      <c r="E25" s="10">
        <v>115550.95009999997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 ht="13.4" customHeight="1">
      <c r="A26" s="1"/>
      <c r="B26" s="1"/>
      <c r="C26" s="1" t="s">
        <v>20</v>
      </c>
      <c r="D26" s="10">
        <v>983531.47090000007</v>
      </c>
      <c r="E26" s="10">
        <v>147275.92760000002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 ht="13.4" customHeight="1">
      <c r="A27" s="1"/>
      <c r="B27" s="1"/>
      <c r="C27" s="1" t="s">
        <v>21</v>
      </c>
      <c r="D27" s="10">
        <v>961942.23470000003</v>
      </c>
      <c r="E27" s="10">
        <v>123663.9357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 ht="13.4" customHeight="1">
      <c r="A28" s="1"/>
      <c r="B28" s="1"/>
      <c r="C28" s="1" t="s">
        <v>22</v>
      </c>
      <c r="D28" s="10">
        <v>964720.49939999997</v>
      </c>
      <c r="E28" s="10">
        <v>122096.27770000001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 ht="13.4" customHeight="1">
      <c r="A29" s="1"/>
      <c r="B29" s="1"/>
      <c r="C29" s="1" t="s">
        <v>23</v>
      </c>
      <c r="D29" s="10">
        <v>981775.60649999999</v>
      </c>
      <c r="E29" s="10">
        <v>137516.09059999997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 ht="13.4" customHeight="1">
      <c r="A30" s="1"/>
      <c r="B30" s="1"/>
      <c r="C30" s="1" t="s">
        <v>24</v>
      </c>
      <c r="D30" s="10">
        <v>951884.46570000006</v>
      </c>
      <c r="E30" s="10">
        <v>129401.67480000002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 ht="13.4" customHeight="1">
      <c r="A31" s="1"/>
      <c r="B31" s="1"/>
      <c r="C31" s="1" t="s">
        <v>25</v>
      </c>
      <c r="D31" s="10">
        <v>993976.22259999998</v>
      </c>
      <c r="E31" s="10">
        <v>135555.28699999998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 ht="13.4" customHeight="1">
      <c r="A32" s="1"/>
      <c r="B32" s="1"/>
      <c r="C32" s="1" t="s">
        <v>26</v>
      </c>
      <c r="D32" s="10">
        <v>1350354.2538999999</v>
      </c>
      <c r="E32" s="10">
        <v>266447.85849999997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 ht="13.4" customHeight="1">
      <c r="A33" s="1"/>
      <c r="B33" s="1"/>
      <c r="C33" s="1" t="s">
        <v>27</v>
      </c>
      <c r="D33" s="10">
        <v>1320946.2423999999</v>
      </c>
      <c r="E33" s="10">
        <v>233733.31559999997</v>
      </c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1:16" ht="13.4" customHeight="1">
      <c r="A34" s="1"/>
      <c r="B34" s="1"/>
      <c r="C34" s="1" t="s">
        <v>28</v>
      </c>
      <c r="D34" s="10">
        <v>893528.20349999995</v>
      </c>
      <c r="E34" s="10">
        <v>123034.54299999996</v>
      </c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 ht="13.4" customHeight="1">
      <c r="A35" s="1"/>
      <c r="B35" s="1"/>
      <c r="C35" s="1" t="s">
        <v>29</v>
      </c>
      <c r="D35" s="10">
        <v>950410.33169999998</v>
      </c>
      <c r="E35" s="10">
        <v>134879.12340000001</v>
      </c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 ht="13.4" customHeight="1">
      <c r="A36" s="1"/>
      <c r="B36" s="1"/>
      <c r="C36" s="1" t="s">
        <v>30</v>
      </c>
      <c r="D36" s="10">
        <v>1019858.1662</v>
      </c>
      <c r="E36" s="10">
        <v>161874.96809999997</v>
      </c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 ht="13.4" customHeight="1">
      <c r="A37" s="1"/>
      <c r="B37" s="1"/>
      <c r="C37" s="1" t="s">
        <v>31</v>
      </c>
      <c r="D37" s="10">
        <v>1005011.9080000001</v>
      </c>
      <c r="E37" s="10">
        <v>152063.55220000001</v>
      </c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 ht="13.4" customHeight="1">
      <c r="A38" s="1"/>
      <c r="B38" s="1"/>
      <c r="C38" s="1" t="s">
        <v>32</v>
      </c>
      <c r="D38" s="10">
        <v>1050659.5342000001</v>
      </c>
      <c r="E38" s="10">
        <v>160834.44270000001</v>
      </c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 ht="13.4" customHeight="1">
      <c r="A39" s="1"/>
      <c r="B39" s="1"/>
      <c r="C39" s="1" t="s">
        <v>33</v>
      </c>
      <c r="D39" s="10">
        <v>1014065.2631000001</v>
      </c>
      <c r="E39" s="10">
        <v>149993.47430000006</v>
      </c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 ht="13.4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 ht="13.4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 ht="13.4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 ht="13.4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 ht="13.4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</sheetData>
  <pageMargins left="0.7" right="0.7" top="0.75" bottom="0.75" header="0.3" footer="0.3"/>
  <pageSetup scale="56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0"/>
  <sheetViews>
    <sheetView showGridLines="0" workbookViewId="0"/>
  </sheetViews>
  <sheetFormatPr defaultRowHeight="14"/>
  <cols>
    <col min="1" max="2" width="2" customWidth="1"/>
    <col min="3" max="3" width="31" customWidth="1"/>
    <col min="4" max="10" width="14" customWidth="1"/>
  </cols>
  <sheetData>
    <row r="1" spans="1:10" ht="13.4" customHeight="1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ht="13.4" customHeight="1">
      <c r="A2" s="1"/>
      <c r="B2" s="1"/>
      <c r="C2" s="2" t="s">
        <v>34</v>
      </c>
      <c r="D2" s="1"/>
      <c r="E2" s="1"/>
      <c r="F2" s="1"/>
      <c r="G2" s="1"/>
      <c r="H2" s="1"/>
      <c r="I2" s="1"/>
      <c r="J2" s="1"/>
    </row>
    <row r="3" spans="1:10" ht="13.4" customHeight="1">
      <c r="A3" s="1"/>
      <c r="B3" s="1"/>
      <c r="C3" s="1" t="s">
        <v>35</v>
      </c>
      <c r="D3" s="1"/>
      <c r="E3" s="1"/>
      <c r="F3" s="1"/>
      <c r="G3" s="1"/>
      <c r="H3" s="1"/>
      <c r="I3" s="1"/>
      <c r="J3" s="1"/>
    </row>
    <row r="4" spans="1:10" ht="13.4" customHeight="1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13.4" customHeight="1">
      <c r="A5" s="1"/>
      <c r="B5" s="1"/>
      <c r="C5" s="1" t="s">
        <v>4</v>
      </c>
      <c r="D5" s="3">
        <v>1</v>
      </c>
      <c r="E5" s="1"/>
      <c r="F5" s="1"/>
      <c r="G5" s="1"/>
      <c r="H5" s="1"/>
      <c r="I5" s="1"/>
      <c r="J5" s="1"/>
    </row>
    <row r="6" spans="1:10" ht="13.4" customHeight="1">
      <c r="A6" s="1"/>
      <c r="B6" s="1"/>
      <c r="C6" s="1"/>
      <c r="D6" s="1"/>
      <c r="E6" s="1"/>
      <c r="F6" s="1"/>
      <c r="G6" s="1"/>
      <c r="H6" s="1"/>
      <c r="I6" s="1"/>
      <c r="J6" s="1"/>
    </row>
    <row r="7" spans="1:10" ht="16" customHeight="1">
      <c r="A7" s="1"/>
      <c r="B7" s="1"/>
      <c r="C7" s="4" t="s">
        <v>36</v>
      </c>
      <c r="D7" s="4" t="s">
        <v>37</v>
      </c>
      <c r="E7" s="4" t="s">
        <v>38</v>
      </c>
      <c r="F7" s="4" t="s">
        <v>39</v>
      </c>
      <c r="G7" s="4" t="s">
        <v>40</v>
      </c>
      <c r="H7" s="4" t="s">
        <v>41</v>
      </c>
      <c r="I7" s="1"/>
      <c r="J7" s="1"/>
    </row>
    <row r="8" spans="1:10" ht="13.4" customHeight="1">
      <c r="A8" s="1"/>
      <c r="B8" s="1"/>
      <c r="C8" s="1" t="s">
        <v>42</v>
      </c>
      <c r="D8" s="8">
        <v>0.06</v>
      </c>
      <c r="E8" s="8">
        <v>0.01</v>
      </c>
      <c r="F8" s="8">
        <v>0.02</v>
      </c>
      <c r="G8" s="9">
        <v>38</v>
      </c>
      <c r="H8" s="9">
        <v>30</v>
      </c>
      <c r="I8" s="1"/>
      <c r="J8" s="1"/>
    </row>
    <row r="9" spans="1:10" ht="13.4" customHeight="1">
      <c r="A9" s="1"/>
      <c r="B9" s="1"/>
      <c r="C9" s="1" t="s">
        <v>43</v>
      </c>
      <c r="D9" s="8">
        <v>-0.08</v>
      </c>
      <c r="E9" s="8">
        <v>-0.02</v>
      </c>
      <c r="F9" s="8">
        <v>0.06</v>
      </c>
      <c r="G9" s="9">
        <v>52</v>
      </c>
      <c r="H9" s="9">
        <v>25</v>
      </c>
      <c r="I9" s="1"/>
      <c r="J9" s="1"/>
    </row>
    <row r="10" spans="1:10" ht="13.4" customHeight="1">
      <c r="A10" s="1"/>
      <c r="B10" s="1"/>
      <c r="C10" s="1" t="s">
        <v>44</v>
      </c>
      <c r="D10" s="8">
        <v>0.13</v>
      </c>
      <c r="E10" s="8">
        <v>0.02</v>
      </c>
      <c r="F10" s="8">
        <v>0.01</v>
      </c>
      <c r="G10" s="9">
        <v>32</v>
      </c>
      <c r="H10" s="9">
        <v>35</v>
      </c>
      <c r="I10" s="1"/>
      <c r="J10" s="1"/>
    </row>
    <row r="11" spans="1:10" ht="13.4" customHeight="1">
      <c r="A11" s="1"/>
      <c r="B11" s="1"/>
      <c r="C11" s="1"/>
      <c r="D11" s="6"/>
      <c r="E11" s="6"/>
      <c r="F11" s="6"/>
      <c r="G11" s="1"/>
      <c r="H11" s="1"/>
      <c r="I11" s="1"/>
      <c r="J11" s="1"/>
    </row>
    <row r="12" spans="1:10" ht="13.4" customHeight="1">
      <c r="A12" s="1"/>
      <c r="B12" s="1"/>
      <c r="C12" s="5" t="str">
        <f t="shared" ref="C12:H12" si="0">CHOOSE($D$5,C8,C9,C10)</f>
        <v>Base</v>
      </c>
      <c r="D12" s="7">
        <f t="shared" si="0"/>
        <v>0.06</v>
      </c>
      <c r="E12" s="7">
        <f t="shared" si="0"/>
        <v>0.01</v>
      </c>
      <c r="F12" s="7">
        <f t="shared" si="0"/>
        <v>0.02</v>
      </c>
      <c r="G12" s="5">
        <f t="shared" si="0"/>
        <v>38</v>
      </c>
      <c r="H12" s="5">
        <f t="shared" si="0"/>
        <v>30</v>
      </c>
      <c r="I12" s="1"/>
      <c r="J12" s="1"/>
    </row>
    <row r="13" spans="1:10" ht="13.4" customHeight="1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0" ht="13.4" customHeight="1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 ht="16" customHeight="1">
      <c r="A15" s="1"/>
      <c r="B15" s="1"/>
      <c r="C15" s="4" t="s">
        <v>45</v>
      </c>
      <c r="D15" s="4" t="s">
        <v>3</v>
      </c>
      <c r="E15" s="1"/>
      <c r="F15" s="1"/>
      <c r="G15" s="1"/>
      <c r="H15" s="1"/>
      <c r="I15" s="1"/>
      <c r="J15" s="1"/>
    </row>
    <row r="16" spans="1:10" ht="13.4" customHeight="1">
      <c r="A16" s="1"/>
      <c r="B16" s="1"/>
      <c r="C16" s="1" t="s">
        <v>46</v>
      </c>
      <c r="D16" s="9">
        <v>165240</v>
      </c>
      <c r="E16" s="1"/>
      <c r="F16" s="1"/>
      <c r="G16" s="1"/>
      <c r="H16" s="1"/>
      <c r="I16" s="1"/>
      <c r="J16" s="1"/>
    </row>
    <row r="17" spans="1:10" ht="13.4" customHeight="1">
      <c r="A17" s="1"/>
      <c r="B17" s="1"/>
      <c r="C17" s="1" t="s">
        <v>47</v>
      </c>
      <c r="D17" s="9">
        <v>18000</v>
      </c>
      <c r="E17" s="1"/>
      <c r="F17" s="1"/>
      <c r="G17" s="1"/>
      <c r="H17" s="1"/>
      <c r="I17" s="1"/>
      <c r="J17" s="1"/>
    </row>
    <row r="18" spans="1:10" ht="13.4" customHeight="1">
      <c r="A18" s="1"/>
      <c r="B18" s="1"/>
      <c r="C18" s="1" t="s">
        <v>48</v>
      </c>
      <c r="D18" s="9">
        <v>25000</v>
      </c>
      <c r="E18" s="1"/>
      <c r="F18" s="1"/>
      <c r="G18" s="1"/>
      <c r="H18" s="1"/>
      <c r="I18" s="1"/>
      <c r="J18" s="1"/>
    </row>
    <row r="19" spans="1:10" ht="13.4" customHeight="1">
      <c r="A19" s="1"/>
      <c r="B19" s="1"/>
      <c r="C19" s="1" t="s">
        <v>49</v>
      </c>
      <c r="D19" s="8">
        <v>0.25</v>
      </c>
      <c r="E19" s="1"/>
      <c r="F19" s="1"/>
      <c r="G19" s="1"/>
      <c r="H19" s="1"/>
      <c r="I19" s="1"/>
      <c r="J19" s="1"/>
    </row>
    <row r="20" spans="1:10" ht="13.4" customHeight="1">
      <c r="A20" s="1"/>
      <c r="B20" s="1"/>
      <c r="C20" s="1" t="s">
        <v>50</v>
      </c>
      <c r="D20" s="9">
        <v>2</v>
      </c>
      <c r="E20" s="1"/>
      <c r="F20" s="1"/>
      <c r="G20" s="1"/>
      <c r="H20" s="1"/>
      <c r="I20" s="1"/>
      <c r="J20" s="1"/>
    </row>
    <row r="21" spans="1:10" ht="13.4" customHeight="1">
      <c r="A21" s="1"/>
      <c r="B21" s="1"/>
      <c r="C21" s="1" t="s">
        <v>51</v>
      </c>
      <c r="D21" s="9">
        <v>900000</v>
      </c>
      <c r="E21" s="1"/>
      <c r="F21" s="1"/>
      <c r="G21" s="1"/>
      <c r="H21" s="1"/>
      <c r="I21" s="1"/>
      <c r="J21" s="1"/>
    </row>
    <row r="22" spans="1:10" ht="13.4" customHeight="1">
      <c r="A22" s="1"/>
      <c r="B22" s="1"/>
      <c r="C22" s="1" t="s">
        <v>52</v>
      </c>
      <c r="D22" s="9">
        <v>38</v>
      </c>
      <c r="E22" s="1"/>
      <c r="F22" s="1"/>
      <c r="G22" s="1"/>
      <c r="H22" s="1"/>
      <c r="I22" s="1"/>
      <c r="J22" s="1"/>
    </row>
    <row r="23" spans="1:10" ht="13.4" customHeight="1">
      <c r="A23" s="1"/>
      <c r="B23" s="1"/>
      <c r="C23" s="1" t="s">
        <v>53</v>
      </c>
      <c r="D23" s="9">
        <v>30</v>
      </c>
      <c r="E23" s="1"/>
      <c r="F23" s="1"/>
      <c r="G23" s="1"/>
      <c r="H23" s="1"/>
      <c r="I23" s="1"/>
      <c r="J23" s="1"/>
    </row>
    <row r="24" spans="1:10" ht="13.4" customHeight="1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 ht="13.4" customHeight="1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 ht="13.4" customHeight="1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 ht="13.4" customHeight="1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0" ht="13.4" customHeight="1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spans="1:10" ht="13.4" customHeight="1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0" ht="13.4" customHeight="1">
      <c r="A30" s="1"/>
      <c r="B30" s="1"/>
      <c r="C30" s="1"/>
      <c r="D30" s="1"/>
      <c r="E30" s="1"/>
      <c r="F30" s="1"/>
      <c r="G30" s="1"/>
      <c r="H30" s="1"/>
      <c r="I30" s="1"/>
      <c r="J30" s="1"/>
    </row>
  </sheetData>
  <dataValidations count="1">
    <dataValidation type="list" sqref="D5" xr:uid="{00000000-0002-0000-0100-000000000000}">
      <formula1>"1,2,3"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20"/>
  <sheetViews>
    <sheetView showGridLines="0" workbookViewId="0"/>
  </sheetViews>
  <sheetFormatPr defaultRowHeight="14"/>
  <cols>
    <col min="1" max="2" width="2" customWidth="1"/>
    <col min="3" max="3" width="31" customWidth="1"/>
    <col min="4" max="23" width="14" customWidth="1"/>
  </cols>
  <sheetData>
    <row r="1" spans="1:23" ht="13.4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ht="13.4" customHeight="1">
      <c r="A2" s="1"/>
      <c r="B2" s="1"/>
      <c r="C2" s="2" t="s">
        <v>54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ht="13.4" customHeight="1">
      <c r="A3" s="1"/>
      <c r="B3" s="1"/>
      <c r="C3" s="1" t="s">
        <v>55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ht="16" customHeight="1">
      <c r="A4" s="1"/>
      <c r="B4" s="1"/>
      <c r="C4" s="4" t="s">
        <v>13</v>
      </c>
      <c r="D4" s="4" t="s">
        <v>56</v>
      </c>
      <c r="E4" s="4" t="s">
        <v>57</v>
      </c>
      <c r="F4" s="4" t="s">
        <v>58</v>
      </c>
      <c r="G4" s="4" t="s">
        <v>59</v>
      </c>
      <c r="H4" s="4" t="s">
        <v>14</v>
      </c>
      <c r="I4" s="4" t="s">
        <v>60</v>
      </c>
      <c r="J4" s="4" t="s">
        <v>61</v>
      </c>
      <c r="K4" s="4" t="s">
        <v>62</v>
      </c>
      <c r="L4" s="4" t="s">
        <v>15</v>
      </c>
      <c r="M4" s="4" t="s">
        <v>63</v>
      </c>
      <c r="N4" s="4" t="s">
        <v>64</v>
      </c>
      <c r="O4" s="4" t="s">
        <v>65</v>
      </c>
      <c r="P4" s="4" t="s">
        <v>66</v>
      </c>
      <c r="Q4" s="4" t="s">
        <v>67</v>
      </c>
      <c r="R4" s="4" t="s">
        <v>68</v>
      </c>
      <c r="S4" s="4" t="s">
        <v>69</v>
      </c>
      <c r="T4" s="4" t="s">
        <v>70</v>
      </c>
      <c r="U4" s="4" t="s">
        <v>51</v>
      </c>
      <c r="V4" s="4" t="s">
        <v>8</v>
      </c>
      <c r="W4" s="1"/>
    </row>
    <row r="5" spans="1:23" ht="13.4" customHeight="1">
      <c r="A5" s="1"/>
      <c r="B5" s="1"/>
      <c r="C5" s="1" t="s">
        <v>71</v>
      </c>
      <c r="D5" s="12">
        <f>Actuals!D11*(SUM(Actuals!D17:D22)/SUM(Actuals!D5:D10))*(1+Assumptions!$D$12)</f>
        <v>21717.589047619047</v>
      </c>
      <c r="E5" s="15">
        <f>Actuals!$E$22/Actuals!$D$22*(1+Assumptions!$E$12)</f>
        <v>49.337921659569346</v>
      </c>
      <c r="F5" s="15">
        <f>Actuals!$F$22/Actuals!$D$22*(1+Assumptions!$F$12)</f>
        <v>34.337319937183871</v>
      </c>
      <c r="G5" s="14">
        <f>Actuals!$G$22/Actuals!$F$22</f>
        <v>0.88145092448891194</v>
      </c>
      <c r="H5" s="13">
        <f t="shared" ref="H5:H16" si="0">D5*E5</f>
        <v>1071500.7070661497</v>
      </c>
      <c r="I5" s="13">
        <f t="shared" ref="I5:I16" si="1">D5*F5</f>
        <v>745723.80339237559</v>
      </c>
      <c r="J5" s="13">
        <f t="shared" ref="J5:J16" si="2">I5*G5</f>
        <v>657318.93591359712</v>
      </c>
      <c r="K5" s="12">
        <f>Assumptions!$D$16</f>
        <v>165240</v>
      </c>
      <c r="L5" s="13">
        <f t="shared" ref="L5:L16" si="3">H5-I5-K5</f>
        <v>160536.9036737741</v>
      </c>
      <c r="M5" s="12">
        <f>Assumptions!$D$17</f>
        <v>18000</v>
      </c>
      <c r="N5" s="12">
        <f>MAX(0,L5-M5)*Assumptions!$D$19</f>
        <v>35634.225918443524</v>
      </c>
      <c r="O5" s="12">
        <f>J5*Assumptions!$G$12/31</f>
        <v>805745.79241021583</v>
      </c>
      <c r="P5" s="12">
        <f>H5*Assumptions!$D$20/31</f>
        <v>69129.077875235467</v>
      </c>
      <c r="Q5" s="12">
        <f>J5*Assumptions!$H$12/31</f>
        <v>636115.09927122307</v>
      </c>
      <c r="R5" s="12">
        <f>O5+P5-Q5-(Actuals!G22*Assumptions!D22/30+Actuals!E22*Assumptions!D20/30-Actuals!G22*Assumptions!D23/30)</f>
        <v>6892.5064608949469</v>
      </c>
      <c r="S5" s="12">
        <f>Assumptions!$D$18</f>
        <v>25000</v>
      </c>
      <c r="T5" s="13">
        <f t="shared" ref="T5:T16" si="4">L5-N5-R5-S5</f>
        <v>93010.171294435626</v>
      </c>
      <c r="U5" s="12">
        <f>Assumptions!$D$21</f>
        <v>900000</v>
      </c>
      <c r="V5" s="13">
        <f t="shared" ref="V5:V16" si="5">U5+T5</f>
        <v>993010.17129443563</v>
      </c>
      <c r="W5" s="1"/>
    </row>
    <row r="6" spans="1:23" ht="13.4" customHeight="1">
      <c r="A6" s="1"/>
      <c r="B6" s="1"/>
      <c r="C6" s="1" t="s">
        <v>72</v>
      </c>
      <c r="D6" s="12">
        <f>Actuals!D12*(SUM(Actuals!D17:D22)/SUM(Actuals!D5:D10))*(1+Assumptions!$D$12)</f>
        <v>22028.510476190477</v>
      </c>
      <c r="E6" s="15">
        <f>Actuals!$E$22/Actuals!$D$22*(1+Assumptions!$E$12)</f>
        <v>49.337921659569346</v>
      </c>
      <c r="F6" s="15">
        <f>Actuals!$F$22/Actuals!$D$22*(1+Assumptions!$F$12)</f>
        <v>34.337319937183871</v>
      </c>
      <c r="G6" s="14">
        <f>Actuals!$G$22/Actuals!$F$22</f>
        <v>0.88145092448891194</v>
      </c>
      <c r="H6" s="13">
        <f t="shared" si="0"/>
        <v>1086840.9241512883</v>
      </c>
      <c r="I6" s="13">
        <f t="shared" si="1"/>
        <v>756400.01196055906</v>
      </c>
      <c r="J6" s="13">
        <f t="shared" si="2"/>
        <v>666729.48982605885</v>
      </c>
      <c r="K6" s="12">
        <f>Assumptions!$D$16</f>
        <v>165240</v>
      </c>
      <c r="L6" s="13">
        <f t="shared" si="3"/>
        <v>165200.91219072929</v>
      </c>
      <c r="M6" s="12">
        <f>Assumptions!$D$17</f>
        <v>18000</v>
      </c>
      <c r="N6" s="12">
        <f>MAX(0,L6-M6)*Assumptions!$D$19</f>
        <v>36800.228047682322</v>
      </c>
      <c r="O6" s="12">
        <f>J6*Assumptions!$G$12/31</f>
        <v>817281.31010936247</v>
      </c>
      <c r="P6" s="12">
        <f>H6*Assumptions!$D$20/31</f>
        <v>70118.76930008312</v>
      </c>
      <c r="Q6" s="12">
        <f>J6*Assumptions!$H$12/31</f>
        <v>645222.0869284441</v>
      </c>
      <c r="R6" s="13">
        <f t="shared" ref="R6:R16" si="6">O6+P6-Q6-(O5+P5-Q5)</f>
        <v>3418.221466773306</v>
      </c>
      <c r="S6" s="12">
        <f>Assumptions!$D$18</f>
        <v>25000</v>
      </c>
      <c r="T6" s="13">
        <f t="shared" si="4"/>
        <v>99982.462676273659</v>
      </c>
      <c r="U6" s="13">
        <f t="shared" ref="U6:U16" si="7">V5</f>
        <v>993010.17129443563</v>
      </c>
      <c r="V6" s="13">
        <f t="shared" si="5"/>
        <v>1092992.6339707093</v>
      </c>
      <c r="W6" s="1"/>
    </row>
    <row r="7" spans="1:23" ht="13.4" customHeight="1">
      <c r="A7" s="1"/>
      <c r="B7" s="1"/>
      <c r="C7" s="1" t="s">
        <v>73</v>
      </c>
      <c r="D7" s="12">
        <f>Actuals!D13*(SUM(Actuals!D17:D22)/SUM(Actuals!D5:D10))*(1+Assumptions!$D$12)</f>
        <v>21245.206666666669</v>
      </c>
      <c r="E7" s="15">
        <f>Actuals!$E$22/Actuals!$D$22*(1+Assumptions!$E$12)</f>
        <v>49.337921659569346</v>
      </c>
      <c r="F7" s="15">
        <f>Actuals!$F$22/Actuals!$D$22*(1+Assumptions!$F$12)</f>
        <v>34.337319937183871</v>
      </c>
      <c r="G7" s="14">
        <f>Actuals!$G$22/Actuals!$F$22</f>
        <v>0.88145092448891194</v>
      </c>
      <c r="H7" s="13">
        <f t="shared" si="0"/>
        <v>1048194.3421613605</v>
      </c>
      <c r="I7" s="13">
        <f t="shared" si="1"/>
        <v>729503.45844492514</v>
      </c>
      <c r="J7" s="13">
        <f t="shared" si="2"/>
        <v>643021.49786413787</v>
      </c>
      <c r="K7" s="12">
        <f>Assumptions!$D$16</f>
        <v>165240</v>
      </c>
      <c r="L7" s="13">
        <f t="shared" si="3"/>
        <v>153450.8837164354</v>
      </c>
      <c r="M7" s="12">
        <f>Assumptions!$D$17</f>
        <v>18000</v>
      </c>
      <c r="N7" s="12">
        <f>MAX(0,L7-M7)*Assumptions!$D$19</f>
        <v>33862.720929108851</v>
      </c>
      <c r="O7" s="12">
        <f>J7*Assumptions!$G$12/30</f>
        <v>814493.89729457465</v>
      </c>
      <c r="P7" s="12">
        <f>H7*Assumptions!$D$20/30</f>
        <v>69879.62281075737</v>
      </c>
      <c r="Q7" s="12">
        <f>J7*Assumptions!$H$12/30</f>
        <v>643021.49786413787</v>
      </c>
      <c r="R7" s="13">
        <f t="shared" si="6"/>
        <v>-825.97023980738595</v>
      </c>
      <c r="S7" s="12">
        <f>Assumptions!$D$18</f>
        <v>25000</v>
      </c>
      <c r="T7" s="13">
        <f t="shared" si="4"/>
        <v>95414.133027133939</v>
      </c>
      <c r="U7" s="13">
        <f t="shared" si="7"/>
        <v>1092992.6339707093</v>
      </c>
      <c r="V7" s="13">
        <f t="shared" si="5"/>
        <v>1188406.7669978433</v>
      </c>
      <c r="W7" s="1"/>
    </row>
    <row r="8" spans="1:23" ht="13.4" customHeight="1">
      <c r="A8" s="1"/>
      <c r="B8" s="1"/>
      <c r="C8" s="1" t="s">
        <v>74</v>
      </c>
      <c r="D8" s="12">
        <f>Actuals!D14*(SUM(Actuals!D17:D22)/SUM(Actuals!D5:D10))*(1+Assumptions!$D$12)</f>
        <v>22448.527142857143</v>
      </c>
      <c r="E8" s="15">
        <f>Actuals!$E$22/Actuals!$D$22*(1+Assumptions!$E$12)</f>
        <v>49.337921659569346</v>
      </c>
      <c r="F8" s="15">
        <f>Actuals!$F$22/Actuals!$D$22*(1+Assumptions!$F$12)</f>
        <v>34.337319937183871</v>
      </c>
      <c r="G8" s="14">
        <f>Actuals!$G$22/Actuals!$F$22</f>
        <v>0.88145092448891194</v>
      </c>
      <c r="H8" s="13">
        <f t="shared" si="0"/>
        <v>1107563.6735470018</v>
      </c>
      <c r="I8" s="13">
        <f t="shared" si="1"/>
        <v>770822.25862284191</v>
      </c>
      <c r="J8" s="13">
        <f t="shared" si="2"/>
        <v>679441.99247973517</v>
      </c>
      <c r="K8" s="12">
        <f>Assumptions!$D$16</f>
        <v>165240</v>
      </c>
      <c r="L8" s="13">
        <f t="shared" si="3"/>
        <v>171501.41492415988</v>
      </c>
      <c r="M8" s="12">
        <f>Assumptions!$D$17</f>
        <v>18000</v>
      </c>
      <c r="N8" s="12">
        <f>MAX(0,L8-M8)*Assumptions!$D$19</f>
        <v>38375.35373103997</v>
      </c>
      <c r="O8" s="12">
        <f>J8*Assumptions!$G$12/31</f>
        <v>832864.37787838513</v>
      </c>
      <c r="P8" s="12">
        <f>H8*Assumptions!$D$20/31</f>
        <v>71455.720874000122</v>
      </c>
      <c r="Q8" s="12">
        <f>J8*Assumptions!$H$12/31</f>
        <v>657524.50885135657</v>
      </c>
      <c r="R8" s="13">
        <f t="shared" si="6"/>
        <v>5443.5676598345162</v>
      </c>
      <c r="S8" s="12">
        <f>Assumptions!$D$18</f>
        <v>25000</v>
      </c>
      <c r="T8" s="13">
        <f t="shared" si="4"/>
        <v>102682.49353328539</v>
      </c>
      <c r="U8" s="13">
        <f t="shared" si="7"/>
        <v>1188406.7669978433</v>
      </c>
      <c r="V8" s="13">
        <f t="shared" si="5"/>
        <v>1291089.2605311286</v>
      </c>
      <c r="W8" s="1"/>
    </row>
    <row r="9" spans="1:23" ht="13.4" customHeight="1">
      <c r="A9" s="1"/>
      <c r="B9" s="1"/>
      <c r="C9" s="1" t="s">
        <v>75</v>
      </c>
      <c r="D9" s="12">
        <f>Actuals!D15*(SUM(Actuals!D17:D22)/SUM(Actuals!D5:D10))*(1+Assumptions!$D$12)</f>
        <v>30572.849523809527</v>
      </c>
      <c r="E9" s="15">
        <f>Actuals!$E$22/Actuals!$D$22*(1+Assumptions!$E$12)</f>
        <v>49.337921659569346</v>
      </c>
      <c r="F9" s="15">
        <f>Actuals!$F$22/Actuals!$D$22*(1+Assumptions!$F$12)</f>
        <v>34.337319937183871</v>
      </c>
      <c r="G9" s="14">
        <f>Actuals!$G$22/Actuals!$F$22</f>
        <v>0.88145092448891194</v>
      </c>
      <c r="H9" s="13">
        <f t="shared" si="0"/>
        <v>1508400.8547155166</v>
      </c>
      <c r="I9" s="13">
        <f t="shared" si="1"/>
        <v>1049789.7154904273</v>
      </c>
      <c r="J9" s="13">
        <f t="shared" si="2"/>
        <v>925338.115237989</v>
      </c>
      <c r="K9" s="12">
        <f>Assumptions!$D$16</f>
        <v>165240</v>
      </c>
      <c r="L9" s="13">
        <f t="shared" si="3"/>
        <v>293371.13922508922</v>
      </c>
      <c r="M9" s="12">
        <f>Assumptions!$D$17</f>
        <v>18000</v>
      </c>
      <c r="N9" s="12">
        <f>MAX(0,L9-M9)*Assumptions!$D$19</f>
        <v>68842.784806272306</v>
      </c>
      <c r="O9" s="12">
        <f>J9*Assumptions!$G$12/30</f>
        <v>1172094.9459681192</v>
      </c>
      <c r="P9" s="12">
        <f>H9*Assumptions!$D$20/30</f>
        <v>100560.05698103443</v>
      </c>
      <c r="Q9" s="12">
        <f>J9*Assumptions!$H$12/30</f>
        <v>925338.115237989</v>
      </c>
      <c r="R9" s="13">
        <f t="shared" si="6"/>
        <v>100521.29781013587</v>
      </c>
      <c r="S9" s="12">
        <f>Assumptions!$D$18</f>
        <v>25000</v>
      </c>
      <c r="T9" s="13">
        <f t="shared" si="4"/>
        <v>99007.056608681043</v>
      </c>
      <c r="U9" s="13">
        <f t="shared" si="7"/>
        <v>1291089.2605311286</v>
      </c>
      <c r="V9" s="13">
        <f t="shared" si="5"/>
        <v>1390096.3171398097</v>
      </c>
      <c r="W9" s="1"/>
    </row>
    <row r="10" spans="1:23" ht="13.4" customHeight="1">
      <c r="A10" s="1"/>
      <c r="B10" s="1"/>
      <c r="C10" s="1" t="s">
        <v>76</v>
      </c>
      <c r="D10" s="12">
        <f>Actuals!D16*(SUM(Actuals!D17:D22)/SUM(Actuals!D5:D10))*(1+Assumptions!$D$12)</f>
        <v>29980.46238095238</v>
      </c>
      <c r="E10" s="15">
        <f>Actuals!$E$22/Actuals!$D$22*(1+Assumptions!$E$12)</f>
        <v>49.337921659569346</v>
      </c>
      <c r="F10" s="15">
        <f>Actuals!$F$22/Actuals!$D$22*(1+Assumptions!$F$12)</f>
        <v>34.337319937183871</v>
      </c>
      <c r="G10" s="14">
        <f>Actuals!$G$22/Actuals!$F$22</f>
        <v>0.88145092448891194</v>
      </c>
      <c r="H10" s="13">
        <f t="shared" si="0"/>
        <v>1479173.7042690944</v>
      </c>
      <c r="I10" s="13">
        <f t="shared" si="1"/>
        <v>1029448.7286394672</v>
      </c>
      <c r="J10" s="13">
        <f t="shared" si="2"/>
        <v>907408.53357319336</v>
      </c>
      <c r="K10" s="12">
        <f>Assumptions!$D$16</f>
        <v>165240</v>
      </c>
      <c r="L10" s="13">
        <f t="shared" si="3"/>
        <v>284484.97562962724</v>
      </c>
      <c r="M10" s="12">
        <f>Assumptions!$D$17</f>
        <v>18000</v>
      </c>
      <c r="N10" s="12">
        <f>MAX(0,L10-M10)*Assumptions!$D$19</f>
        <v>66621.24390740681</v>
      </c>
      <c r="O10" s="12">
        <f>J10*Assumptions!$G$12/31</f>
        <v>1112307.2347026241</v>
      </c>
      <c r="P10" s="12">
        <f>H10*Assumptions!$D$20/31</f>
        <v>95430.561565748023</v>
      </c>
      <c r="Q10" s="12">
        <f>J10*Assumptions!$H$12/31</f>
        <v>878137.29055470321</v>
      </c>
      <c r="R10" s="13">
        <f t="shared" si="6"/>
        <v>-17716.381997495657</v>
      </c>
      <c r="S10" s="12">
        <f>Assumptions!$D$18</f>
        <v>25000</v>
      </c>
      <c r="T10" s="13">
        <f t="shared" si="4"/>
        <v>210580.11371971609</v>
      </c>
      <c r="U10" s="13">
        <f t="shared" si="7"/>
        <v>1390096.3171398097</v>
      </c>
      <c r="V10" s="13">
        <f t="shared" si="5"/>
        <v>1600676.4308595257</v>
      </c>
      <c r="W10" s="1"/>
    </row>
    <row r="11" spans="1:23" ht="13.4" customHeight="1">
      <c r="A11" s="1"/>
      <c r="B11" s="1"/>
      <c r="C11" s="1" t="s">
        <v>77</v>
      </c>
      <c r="D11" s="12">
        <f>Actuals!D17*(SUM(Actuals!D17:D22)/SUM(Actuals!D5:D10))*(1+Assumptions!$D$12)</f>
        <v>20364.808095238099</v>
      </c>
      <c r="E11" s="15">
        <f>Actuals!$E$22/Actuals!$D$22*(1+Assumptions!$E$12)</f>
        <v>49.337921659569346</v>
      </c>
      <c r="F11" s="15">
        <f>Actuals!$F$22/Actuals!$D$22*(1+Assumptions!$F$12)</f>
        <v>34.337319937183871</v>
      </c>
      <c r="G11" s="14">
        <f>Actuals!$G$22/Actuals!$F$22</f>
        <v>0.88145092448891194</v>
      </c>
      <c r="H11" s="13">
        <f t="shared" si="0"/>
        <v>1004757.306415021</v>
      </c>
      <c r="I11" s="13">
        <f t="shared" si="1"/>
        <v>699272.93102554267</v>
      </c>
      <c r="J11" s="13">
        <f t="shared" si="2"/>
        <v>616374.77152253571</v>
      </c>
      <c r="K11" s="12">
        <f>Assumptions!$D$16</f>
        <v>165240</v>
      </c>
      <c r="L11" s="13">
        <f t="shared" si="3"/>
        <v>140244.37538947829</v>
      </c>
      <c r="M11" s="12">
        <f>Assumptions!$D$17</f>
        <v>18000</v>
      </c>
      <c r="N11" s="12">
        <f>MAX(0,L11-M11)*Assumptions!$D$19</f>
        <v>30561.093847369571</v>
      </c>
      <c r="O11" s="12">
        <f>J11*Assumptions!$G$12/31</f>
        <v>755556.17154375347</v>
      </c>
      <c r="P11" s="12">
        <f>H11*Assumptions!$D$20/31</f>
        <v>64823.052026775542</v>
      </c>
      <c r="Q11" s="12">
        <f>J11*Assumptions!$H$12/31</f>
        <v>596491.71437664749</v>
      </c>
      <c r="R11" s="13">
        <f t="shared" si="6"/>
        <v>-105712.99651978735</v>
      </c>
      <c r="S11" s="12">
        <f>Assumptions!$D$18</f>
        <v>25000</v>
      </c>
      <c r="T11" s="13">
        <f t="shared" si="4"/>
        <v>190396.27806189607</v>
      </c>
      <c r="U11" s="13">
        <f t="shared" si="7"/>
        <v>1600676.4308595257</v>
      </c>
      <c r="V11" s="13">
        <f t="shared" si="5"/>
        <v>1791072.7089214218</v>
      </c>
      <c r="W11" s="1"/>
    </row>
    <row r="12" spans="1:23" ht="13.4" customHeight="1">
      <c r="A12" s="1"/>
      <c r="B12" s="1"/>
      <c r="C12" s="1" t="s">
        <v>78</v>
      </c>
      <c r="D12" s="12">
        <f>Actuals!D18*(SUM(Actuals!D17:D22)/SUM(Actuals!D5:D10))*(1+Assumptions!$D$12)</f>
        <v>20638.637142857144</v>
      </c>
      <c r="E12" s="15">
        <f>Actuals!$E$22/Actuals!$D$22*(1+Assumptions!$E$12)</f>
        <v>49.337921659569346</v>
      </c>
      <c r="F12" s="15">
        <f>Actuals!$F$22/Actuals!$D$22*(1+Assumptions!$F$12)</f>
        <v>34.337319937183871</v>
      </c>
      <c r="G12" s="14">
        <f>Actuals!$G$22/Actuals!$F$22</f>
        <v>0.88145092448891194</v>
      </c>
      <c r="H12" s="13">
        <f t="shared" si="0"/>
        <v>1018267.4625145639</v>
      </c>
      <c r="I12" s="13">
        <f t="shared" si="1"/>
        <v>708675.48664173216</v>
      </c>
      <c r="J12" s="13">
        <f t="shared" si="2"/>
        <v>624662.66286298435</v>
      </c>
      <c r="K12" s="12">
        <f>Assumptions!$D$16</f>
        <v>165240</v>
      </c>
      <c r="L12" s="13">
        <f t="shared" si="3"/>
        <v>144351.97587283177</v>
      </c>
      <c r="M12" s="12">
        <f>Assumptions!$D$17</f>
        <v>18000</v>
      </c>
      <c r="N12" s="12">
        <f>MAX(0,L12-M12)*Assumptions!$D$19</f>
        <v>31587.993968207942</v>
      </c>
      <c r="O12" s="12">
        <f>J12*Assumptions!$G$12/28</f>
        <v>847756.47102833597</v>
      </c>
      <c r="P12" s="12">
        <f>H12*Assumptions!$D$20/28</f>
        <v>72733.390179611713</v>
      </c>
      <c r="Q12" s="12">
        <f>J12*Assumptions!$H$12/28</f>
        <v>669281.42449605465</v>
      </c>
      <c r="R12" s="13">
        <f t="shared" si="6"/>
        <v>27320.927518011536</v>
      </c>
      <c r="S12" s="12">
        <f>Assumptions!$D$18</f>
        <v>25000</v>
      </c>
      <c r="T12" s="13">
        <f t="shared" si="4"/>
        <v>60443.05438661229</v>
      </c>
      <c r="U12" s="13">
        <f t="shared" si="7"/>
        <v>1791072.7089214218</v>
      </c>
      <c r="V12" s="13">
        <f t="shared" si="5"/>
        <v>1851515.763308034</v>
      </c>
      <c r="W12" s="1"/>
    </row>
    <row r="13" spans="1:23" ht="13.4" customHeight="1">
      <c r="A13" s="1"/>
      <c r="B13" s="1"/>
      <c r="C13" s="1" t="s">
        <v>79</v>
      </c>
      <c r="D13" s="12">
        <f>Actuals!D19*(SUM(Actuals!D17:D22)/SUM(Actuals!D5:D10))*(1+Assumptions!$D$12)</f>
        <v>22708.173809523811</v>
      </c>
      <c r="E13" s="15">
        <f>Actuals!$E$22/Actuals!$D$22*(1+Assumptions!$E$12)</f>
        <v>49.337921659569346</v>
      </c>
      <c r="F13" s="15">
        <f>Actuals!$F$22/Actuals!$D$22*(1+Assumptions!$F$12)</f>
        <v>34.337319937183871</v>
      </c>
      <c r="G13" s="14">
        <f>Actuals!$G$22/Actuals!$F$22</f>
        <v>0.88145092448891194</v>
      </c>
      <c r="H13" s="13">
        <f t="shared" si="0"/>
        <v>1120374.1004461702</v>
      </c>
      <c r="I13" s="13">
        <f t="shared" si="1"/>
        <v>779737.8292867986</v>
      </c>
      <c r="J13" s="13">
        <f t="shared" si="2"/>
        <v>687300.63048382604</v>
      </c>
      <c r="K13" s="12">
        <f>Assumptions!$D$16</f>
        <v>165240</v>
      </c>
      <c r="L13" s="13">
        <f t="shared" si="3"/>
        <v>175396.27115937159</v>
      </c>
      <c r="M13" s="12">
        <f>Assumptions!$D$17</f>
        <v>18000</v>
      </c>
      <c r="N13" s="12">
        <f>MAX(0,L13-M13)*Assumptions!$D$19</f>
        <v>39349.067789842898</v>
      </c>
      <c r="O13" s="12">
        <f>J13*Assumptions!$G$12/31</f>
        <v>842497.54704469</v>
      </c>
      <c r="P13" s="12">
        <f>H13*Assumptions!$D$20/31</f>
        <v>72282.20002878517</v>
      </c>
      <c r="Q13" s="12">
        <f>J13*Assumptions!$H$12/31</f>
        <v>665129.6424037026</v>
      </c>
      <c r="R13" s="13">
        <f t="shared" si="6"/>
        <v>-1558.3320421205135</v>
      </c>
      <c r="S13" s="12">
        <f>Assumptions!$D$18</f>
        <v>25000</v>
      </c>
      <c r="T13" s="13">
        <f t="shared" si="4"/>
        <v>112605.53541164921</v>
      </c>
      <c r="U13" s="13">
        <f t="shared" si="7"/>
        <v>1851515.763308034</v>
      </c>
      <c r="V13" s="13">
        <f t="shared" si="5"/>
        <v>1964121.2987196832</v>
      </c>
      <c r="W13" s="1"/>
    </row>
    <row r="14" spans="1:23" ht="13.4" customHeight="1">
      <c r="A14" s="1"/>
      <c r="B14" s="1"/>
      <c r="C14" s="1" t="s">
        <v>80</v>
      </c>
      <c r="D14" s="12">
        <f>Actuals!D20*(SUM(Actuals!D17:D22)/SUM(Actuals!D5:D10))*(1+Assumptions!$D$12)</f>
        <v>23033.277619047618</v>
      </c>
      <c r="E14" s="15">
        <f>Actuals!$E$22/Actuals!$D$22*(1+Assumptions!$E$12)</f>
        <v>49.337921659569346</v>
      </c>
      <c r="F14" s="15">
        <f>Actuals!$F$22/Actuals!$D$22*(1+Assumptions!$F$12)</f>
        <v>34.337319937183871</v>
      </c>
      <c r="G14" s="14">
        <f>Actuals!$G$22/Actuals!$F$22</f>
        <v>0.88145092448891194</v>
      </c>
      <c r="H14" s="13">
        <f t="shared" si="0"/>
        <v>1136414.0467316834</v>
      </c>
      <c r="I14" s="13">
        <f t="shared" si="1"/>
        <v>790901.02280721476</v>
      </c>
      <c r="J14" s="13">
        <f t="shared" si="2"/>
        <v>697140.43773264543</v>
      </c>
      <c r="K14" s="12">
        <f>Assumptions!$D$16</f>
        <v>165240</v>
      </c>
      <c r="L14" s="13">
        <f t="shared" si="3"/>
        <v>180273.02392446867</v>
      </c>
      <c r="M14" s="12">
        <f>Assumptions!$D$17</f>
        <v>18000</v>
      </c>
      <c r="N14" s="12">
        <f>MAX(0,L14-M14)*Assumptions!$D$19</f>
        <v>40568.255981117167</v>
      </c>
      <c r="O14" s="12">
        <f>J14*Assumptions!$G$12/30</f>
        <v>883044.5544613509</v>
      </c>
      <c r="P14" s="12">
        <f>H14*Assumptions!$D$20/30</f>
        <v>75760.936448778899</v>
      </c>
      <c r="Q14" s="12">
        <f>J14*Assumptions!$H$12/30</f>
        <v>697140.43773264543</v>
      </c>
      <c r="R14" s="13">
        <f t="shared" si="6"/>
        <v>12014.948507711873</v>
      </c>
      <c r="S14" s="12">
        <f>Assumptions!$D$18</f>
        <v>25000</v>
      </c>
      <c r="T14" s="13">
        <f t="shared" si="4"/>
        <v>102689.81943563963</v>
      </c>
      <c r="U14" s="13">
        <f t="shared" si="7"/>
        <v>1964121.2987196832</v>
      </c>
      <c r="V14" s="13">
        <f t="shared" si="5"/>
        <v>2066811.1181553227</v>
      </c>
      <c r="W14" s="1"/>
    </row>
    <row r="15" spans="1:23" ht="13.4" customHeight="1">
      <c r="A15" s="1"/>
      <c r="B15" s="1"/>
      <c r="C15" s="1" t="s">
        <v>81</v>
      </c>
      <c r="D15" s="12">
        <f>Actuals!D21*(SUM(Actuals!D17:D22)/SUM(Actuals!D5:D10))*(1+Assumptions!$D$12)</f>
        <v>23074.733809523812</v>
      </c>
      <c r="E15" s="15">
        <f>Actuals!$E$22/Actuals!$D$22*(1+Assumptions!$E$12)</f>
        <v>49.337921659569346</v>
      </c>
      <c r="F15" s="15">
        <f>Actuals!$F$22/Actuals!$D$22*(1+Assumptions!$F$12)</f>
        <v>34.337319937183871</v>
      </c>
      <c r="G15" s="14">
        <f>Actuals!$G$22/Actuals!$F$22</f>
        <v>0.88145092448891194</v>
      </c>
      <c r="H15" s="13">
        <f t="shared" si="0"/>
        <v>1138459.409009702</v>
      </c>
      <c r="I15" s="13">
        <f t="shared" si="1"/>
        <v>792324.51728297269</v>
      </c>
      <c r="J15" s="13">
        <f t="shared" si="2"/>
        <v>698395.17825430713</v>
      </c>
      <c r="K15" s="12">
        <f>Assumptions!$D$16</f>
        <v>165240</v>
      </c>
      <c r="L15" s="13">
        <f t="shared" si="3"/>
        <v>180894.89172672934</v>
      </c>
      <c r="M15" s="12">
        <f>Assumptions!$D$17</f>
        <v>18000</v>
      </c>
      <c r="N15" s="12">
        <f>MAX(0,L15-M15)*Assumptions!$D$19</f>
        <v>40723.722931682336</v>
      </c>
      <c r="O15" s="12">
        <f>J15*Assumptions!$G$12/31</f>
        <v>856097.3152794732</v>
      </c>
      <c r="P15" s="12">
        <f>H15*Assumptions!$D$20/31</f>
        <v>73448.994129658196</v>
      </c>
      <c r="Q15" s="12">
        <f>J15*Assumptions!$H$12/31</f>
        <v>675866.3015364263</v>
      </c>
      <c r="R15" s="13">
        <f t="shared" si="6"/>
        <v>-7985.0453047793126</v>
      </c>
      <c r="S15" s="12">
        <f>Assumptions!$D$18</f>
        <v>25000</v>
      </c>
      <c r="T15" s="13">
        <f t="shared" si="4"/>
        <v>123156.21409982632</v>
      </c>
      <c r="U15" s="13">
        <f t="shared" si="7"/>
        <v>2066811.1181553227</v>
      </c>
      <c r="V15" s="13">
        <f t="shared" si="5"/>
        <v>2189967.3322551493</v>
      </c>
      <c r="W15" s="1"/>
    </row>
    <row r="16" spans="1:23" ht="13.4" customHeight="1">
      <c r="A16" s="1"/>
      <c r="B16" s="1"/>
      <c r="C16" s="1" t="s">
        <v>82</v>
      </c>
      <c r="D16" s="12">
        <f>Actuals!D22*(SUM(Actuals!D17:D22)/SUM(Actuals!D5:D10))*(1+Assumptions!$D$12)</f>
        <v>22647.080476190476</v>
      </c>
      <c r="E16" s="15">
        <f>Actuals!$E$22/Actuals!$D$22*(1+Assumptions!$E$12)</f>
        <v>49.337921659569346</v>
      </c>
      <c r="F16" s="15">
        <f>Actuals!$F$22/Actuals!$D$22*(1+Assumptions!$F$12)</f>
        <v>34.337319937183871</v>
      </c>
      <c r="G16" s="14">
        <f>Actuals!$G$22/Actuals!$F$22</f>
        <v>0.88145092448891194</v>
      </c>
      <c r="H16" s="13">
        <f t="shared" si="0"/>
        <v>1117359.8823522481</v>
      </c>
      <c r="I16" s="13">
        <f t="shared" si="1"/>
        <v>777640.04795410286</v>
      </c>
      <c r="J16" s="13">
        <f t="shared" si="2"/>
        <v>685451.53918874578</v>
      </c>
      <c r="K16" s="12">
        <f>Assumptions!$D$16</f>
        <v>165240</v>
      </c>
      <c r="L16" s="13">
        <f t="shared" si="3"/>
        <v>174479.83439814521</v>
      </c>
      <c r="M16" s="12">
        <f>Assumptions!$D$17</f>
        <v>18000</v>
      </c>
      <c r="N16" s="12">
        <f>MAX(0,L16-M16)*Assumptions!$D$19</f>
        <v>39119.958599536301</v>
      </c>
      <c r="O16" s="12">
        <f>J16*Assumptions!$G$12/30</f>
        <v>868238.61630574462</v>
      </c>
      <c r="P16" s="12">
        <f>H16*Assumptions!$D$20/30</f>
        <v>74490.658823483202</v>
      </c>
      <c r="Q16" s="12">
        <f>J16*Assumptions!$H$12/30</f>
        <v>685451.53918874578</v>
      </c>
      <c r="R16" s="13">
        <f t="shared" si="6"/>
        <v>3597.7280677768867</v>
      </c>
      <c r="S16" s="12">
        <f>Assumptions!$D$18</f>
        <v>25000</v>
      </c>
      <c r="T16" s="13">
        <f t="shared" si="4"/>
        <v>106762.14773083202</v>
      </c>
      <c r="U16" s="13">
        <f t="shared" si="7"/>
        <v>2189967.3322551493</v>
      </c>
      <c r="V16" s="13">
        <f t="shared" si="5"/>
        <v>2296729.4799859812</v>
      </c>
      <c r="W16" s="1"/>
    </row>
    <row r="17" spans="1:23" ht="13.4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3" ht="13.4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3" ht="13.4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1:23" ht="13.4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8"/>
  <sheetViews>
    <sheetView showGridLines="0" workbookViewId="0"/>
  </sheetViews>
  <sheetFormatPr defaultRowHeight="14"/>
  <cols>
    <col min="1" max="2" width="2" customWidth="1"/>
    <col min="3" max="3" width="31" customWidth="1"/>
    <col min="4" max="12" width="14" customWidth="1"/>
  </cols>
  <sheetData>
    <row r="1" spans="1:12" ht="13.4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13.4" customHeight="1">
      <c r="A2" s="1"/>
      <c r="B2" s="1"/>
      <c r="C2" s="2" t="s">
        <v>83</v>
      </c>
      <c r="D2" s="1"/>
      <c r="E2" s="1"/>
      <c r="F2" s="1"/>
      <c r="G2" s="1"/>
      <c r="H2" s="1"/>
      <c r="I2" s="1"/>
      <c r="J2" s="1"/>
      <c r="K2" s="1"/>
      <c r="L2" s="1"/>
    </row>
    <row r="3" spans="1:12" ht="13.4" customHeight="1">
      <c r="A3" s="1"/>
      <c r="B3" s="1"/>
      <c r="C3" s="1" t="s">
        <v>84</v>
      </c>
      <c r="D3" s="1"/>
      <c r="E3" s="1"/>
      <c r="F3" s="1"/>
      <c r="G3" s="1"/>
      <c r="H3" s="1"/>
      <c r="I3" s="1"/>
      <c r="J3" s="1"/>
      <c r="K3" s="1"/>
      <c r="L3" s="1"/>
    </row>
    <row r="4" spans="1:12" ht="16" customHeight="1">
      <c r="A4" s="1"/>
      <c r="B4" s="1"/>
      <c r="C4" s="4" t="s">
        <v>13</v>
      </c>
      <c r="D4" s="4" t="s">
        <v>56</v>
      </c>
      <c r="E4" s="4" t="s">
        <v>14</v>
      </c>
      <c r="F4" s="4" t="s">
        <v>60</v>
      </c>
      <c r="G4" s="4" t="s">
        <v>61</v>
      </c>
      <c r="H4" s="4" t="s">
        <v>62</v>
      </c>
      <c r="I4" s="4" t="s">
        <v>15</v>
      </c>
      <c r="J4" s="1"/>
      <c r="K4" s="1"/>
      <c r="L4" s="1"/>
    </row>
    <row r="5" spans="1:12" ht="13.4" customHeight="1">
      <c r="A5" s="1"/>
      <c r="B5" s="1"/>
      <c r="C5" s="1" t="s">
        <v>16</v>
      </c>
      <c r="D5" s="1">
        <v>18302</v>
      </c>
      <c r="E5" s="10">
        <v>857947.11600000004</v>
      </c>
      <c r="F5" s="10">
        <v>603260.10489999992</v>
      </c>
      <c r="G5" s="10">
        <v>531265.67709999997</v>
      </c>
      <c r="H5" s="10">
        <v>166050</v>
      </c>
      <c r="I5" s="10">
        <v>88637.011100000032</v>
      </c>
      <c r="J5" s="1"/>
      <c r="K5" s="1"/>
      <c r="L5" s="1"/>
    </row>
    <row r="6" spans="1:12" ht="13.4" customHeight="1">
      <c r="A6" s="1"/>
      <c r="B6" s="1"/>
      <c r="C6" s="1" t="s">
        <v>17</v>
      </c>
      <c r="D6" s="1">
        <v>18118</v>
      </c>
      <c r="E6" s="10">
        <v>872546.50179999997</v>
      </c>
      <c r="F6" s="10">
        <v>600976.85820000002</v>
      </c>
      <c r="G6" s="10">
        <v>529168.03830000001</v>
      </c>
      <c r="H6" s="10">
        <v>166860</v>
      </c>
      <c r="I6" s="10">
        <v>104709.64360000001</v>
      </c>
      <c r="J6" s="1"/>
      <c r="K6" s="1"/>
      <c r="L6" s="1"/>
    </row>
    <row r="7" spans="1:12" ht="13.4" customHeight="1">
      <c r="A7" s="1"/>
      <c r="B7" s="1"/>
      <c r="C7" s="1" t="s">
        <v>18</v>
      </c>
      <c r="D7" s="1">
        <v>20290</v>
      </c>
      <c r="E7" s="10">
        <v>995053.26229999994</v>
      </c>
      <c r="F7" s="10">
        <v>689482.12910000002</v>
      </c>
      <c r="G7" s="10">
        <v>608270.28410000005</v>
      </c>
      <c r="H7" s="10">
        <v>165240</v>
      </c>
      <c r="I7" s="10">
        <v>140331.13319999995</v>
      </c>
      <c r="J7" s="1"/>
      <c r="K7" s="1"/>
      <c r="L7" s="1"/>
    </row>
    <row r="8" spans="1:12" ht="13.4" customHeight="1">
      <c r="A8" s="1"/>
      <c r="B8" s="1"/>
      <c r="C8" s="1" t="s">
        <v>19</v>
      </c>
      <c r="D8" s="1">
        <v>20373</v>
      </c>
      <c r="E8" s="10">
        <v>961530.32959999994</v>
      </c>
      <c r="F8" s="10">
        <v>679929.37950000004</v>
      </c>
      <c r="G8" s="10">
        <v>598662.8334</v>
      </c>
      <c r="H8" s="10">
        <v>166050</v>
      </c>
      <c r="I8" s="10">
        <v>115550.95009999997</v>
      </c>
      <c r="J8" s="1"/>
      <c r="K8" s="1"/>
      <c r="L8" s="1"/>
    </row>
    <row r="9" spans="1:12" ht="13.4" customHeight="1">
      <c r="A9" s="1"/>
      <c r="B9" s="1"/>
      <c r="C9" s="1" t="s">
        <v>20</v>
      </c>
      <c r="D9" s="1">
        <v>20555</v>
      </c>
      <c r="E9" s="10">
        <v>983531.47090000007</v>
      </c>
      <c r="F9" s="10">
        <v>669395.54330000002</v>
      </c>
      <c r="G9" s="10">
        <v>588995.29709999997</v>
      </c>
      <c r="H9" s="10">
        <v>166860</v>
      </c>
      <c r="I9" s="10">
        <v>147275.92760000002</v>
      </c>
      <c r="J9" s="1"/>
      <c r="K9" s="1"/>
      <c r="L9" s="1"/>
    </row>
    <row r="10" spans="1:12" ht="13.4" customHeight="1">
      <c r="A10" s="1"/>
      <c r="B10" s="1"/>
      <c r="C10" s="1" t="s">
        <v>21</v>
      </c>
      <c r="D10" s="1">
        <v>20340</v>
      </c>
      <c r="E10" s="10">
        <v>961942.23470000003</v>
      </c>
      <c r="F10" s="10">
        <v>673038.299</v>
      </c>
      <c r="G10" s="10">
        <v>592506.20889999997</v>
      </c>
      <c r="H10" s="10">
        <v>165240</v>
      </c>
      <c r="I10" s="10">
        <v>123663.9357</v>
      </c>
      <c r="J10" s="1"/>
      <c r="K10" s="1"/>
      <c r="L10" s="1"/>
    </row>
    <row r="11" spans="1:12" ht="13.4" customHeight="1">
      <c r="A11" s="1"/>
      <c r="B11" s="1"/>
      <c r="C11" s="1" t="s">
        <v>22</v>
      </c>
      <c r="D11" s="1">
        <v>19907</v>
      </c>
      <c r="E11" s="10">
        <v>964720.49939999997</v>
      </c>
      <c r="F11" s="10">
        <v>676574.22169999999</v>
      </c>
      <c r="G11" s="10">
        <v>596886.14639999997</v>
      </c>
      <c r="H11" s="10">
        <v>166050</v>
      </c>
      <c r="I11" s="10">
        <v>122096.27770000001</v>
      </c>
      <c r="J11" s="1"/>
      <c r="K11" s="1"/>
      <c r="L11" s="1"/>
    </row>
    <row r="12" spans="1:12" ht="13.4" customHeight="1">
      <c r="A12" s="1"/>
      <c r="B12" s="1"/>
      <c r="C12" s="1" t="s">
        <v>23</v>
      </c>
      <c r="D12" s="1">
        <v>20192</v>
      </c>
      <c r="E12" s="10">
        <v>981775.60649999999</v>
      </c>
      <c r="F12" s="10">
        <v>677399.5159</v>
      </c>
      <c r="G12" s="10">
        <v>597035.17449999996</v>
      </c>
      <c r="H12" s="10">
        <v>166860</v>
      </c>
      <c r="I12" s="10">
        <v>137516.09059999997</v>
      </c>
      <c r="J12" s="1"/>
      <c r="K12" s="1"/>
      <c r="L12" s="1"/>
    </row>
    <row r="13" spans="1:12" ht="13.4" customHeight="1">
      <c r="A13" s="1"/>
      <c r="B13" s="1"/>
      <c r="C13" s="1" t="s">
        <v>24</v>
      </c>
      <c r="D13" s="1">
        <v>19474</v>
      </c>
      <c r="E13" s="10">
        <v>951884.46570000006</v>
      </c>
      <c r="F13" s="10">
        <v>657242.79090000002</v>
      </c>
      <c r="G13" s="10">
        <v>579715.15229999996</v>
      </c>
      <c r="H13" s="10">
        <v>165240</v>
      </c>
      <c r="I13" s="10">
        <v>129401.67480000002</v>
      </c>
      <c r="J13" s="1"/>
      <c r="K13" s="1"/>
      <c r="L13" s="1"/>
    </row>
    <row r="14" spans="1:12" ht="13.4" customHeight="1">
      <c r="A14" s="1"/>
      <c r="B14" s="1"/>
      <c r="C14" s="1" t="s">
        <v>25</v>
      </c>
      <c r="D14" s="1">
        <v>20577</v>
      </c>
      <c r="E14" s="10">
        <v>993976.22259999998</v>
      </c>
      <c r="F14" s="10">
        <v>692370.93559999997</v>
      </c>
      <c r="G14" s="10">
        <v>610188.03859999997</v>
      </c>
      <c r="H14" s="10">
        <v>166050</v>
      </c>
      <c r="I14" s="10">
        <v>135555.28699999998</v>
      </c>
      <c r="J14" s="1"/>
      <c r="K14" s="1"/>
      <c r="L14" s="1"/>
    </row>
    <row r="15" spans="1:12" ht="13.4" customHeight="1">
      <c r="A15" s="1"/>
      <c r="B15" s="1"/>
      <c r="C15" s="1" t="s">
        <v>26</v>
      </c>
      <c r="D15" s="1">
        <v>28024</v>
      </c>
      <c r="E15" s="10">
        <v>1350354.2538999999</v>
      </c>
      <c r="F15" s="10">
        <v>917046.39540000004</v>
      </c>
      <c r="G15" s="10">
        <v>807640.43440000003</v>
      </c>
      <c r="H15" s="10">
        <v>166860</v>
      </c>
      <c r="I15" s="10">
        <v>266447.85849999997</v>
      </c>
      <c r="J15" s="1"/>
      <c r="K15" s="1"/>
      <c r="L15" s="1"/>
    </row>
    <row r="16" spans="1:12" ht="13.4" customHeight="1">
      <c r="A16" s="1"/>
      <c r="B16" s="1"/>
      <c r="C16" s="1" t="s">
        <v>27</v>
      </c>
      <c r="D16" s="1">
        <v>27481</v>
      </c>
      <c r="E16" s="10">
        <v>1320946.2423999999</v>
      </c>
      <c r="F16" s="10">
        <v>921972.92680000002</v>
      </c>
      <c r="G16" s="10">
        <v>811601.08290000004</v>
      </c>
      <c r="H16" s="10">
        <v>165240</v>
      </c>
      <c r="I16" s="10">
        <v>233733.31559999997</v>
      </c>
      <c r="J16" s="1"/>
      <c r="K16" s="1"/>
      <c r="L16" s="1"/>
    </row>
    <row r="17" spans="1:12" ht="13.4" customHeight="1">
      <c r="A17" s="1"/>
      <c r="B17" s="1"/>
      <c r="C17" s="1" t="s">
        <v>28</v>
      </c>
      <c r="D17" s="1">
        <v>18667</v>
      </c>
      <c r="E17" s="10">
        <v>893528.20349999995</v>
      </c>
      <c r="F17" s="10">
        <v>604443.6605</v>
      </c>
      <c r="G17" s="10">
        <v>530599.08550000004</v>
      </c>
      <c r="H17" s="10">
        <v>166050</v>
      </c>
      <c r="I17" s="10">
        <v>123034.54299999996</v>
      </c>
      <c r="J17" s="1"/>
      <c r="K17" s="1"/>
      <c r="L17" s="1"/>
    </row>
    <row r="18" spans="1:12" ht="13.4" customHeight="1">
      <c r="A18" s="1"/>
      <c r="B18" s="1"/>
      <c r="C18" s="1" t="s">
        <v>29</v>
      </c>
      <c r="D18" s="1">
        <v>18918</v>
      </c>
      <c r="E18" s="10">
        <v>950410.33169999998</v>
      </c>
      <c r="F18" s="10">
        <v>648671.20830000006</v>
      </c>
      <c r="G18" s="10">
        <v>572659.00439999998</v>
      </c>
      <c r="H18" s="10">
        <v>166860</v>
      </c>
      <c r="I18" s="10">
        <v>134879.12340000001</v>
      </c>
      <c r="J18" s="1"/>
      <c r="K18" s="1"/>
      <c r="L18" s="1"/>
    </row>
    <row r="19" spans="1:12" ht="13.4" customHeight="1">
      <c r="A19" s="1"/>
      <c r="B19" s="1"/>
      <c r="C19" s="1" t="s">
        <v>30</v>
      </c>
      <c r="D19" s="1">
        <v>20815</v>
      </c>
      <c r="E19" s="10">
        <v>1019858.1662</v>
      </c>
      <c r="F19" s="10">
        <v>692743.19810000004</v>
      </c>
      <c r="G19" s="10">
        <v>610309.87410000002</v>
      </c>
      <c r="H19" s="10">
        <v>165240</v>
      </c>
      <c r="I19" s="10">
        <v>161874.96809999997</v>
      </c>
      <c r="J19" s="1"/>
      <c r="K19" s="1"/>
      <c r="L19" s="1"/>
    </row>
    <row r="20" spans="1:12" ht="13.4" customHeight="1">
      <c r="A20" s="1"/>
      <c r="B20" s="1"/>
      <c r="C20" s="1" t="s">
        <v>31</v>
      </c>
      <c r="D20" s="1">
        <v>21113</v>
      </c>
      <c r="E20" s="10">
        <v>1005011.9080000001</v>
      </c>
      <c r="F20" s="10">
        <v>686898.35580000002</v>
      </c>
      <c r="G20" s="10">
        <v>604180.54009999998</v>
      </c>
      <c r="H20" s="10">
        <v>166050</v>
      </c>
      <c r="I20" s="10">
        <v>152063.55220000001</v>
      </c>
      <c r="J20" s="1"/>
      <c r="K20" s="1"/>
      <c r="L20" s="1"/>
    </row>
    <row r="21" spans="1:12" ht="13.4" customHeight="1">
      <c r="A21" s="1"/>
      <c r="B21" s="1"/>
      <c r="C21" s="1" t="s">
        <v>32</v>
      </c>
      <c r="D21" s="1">
        <v>21151</v>
      </c>
      <c r="E21" s="10">
        <v>1050659.5342000001</v>
      </c>
      <c r="F21" s="10">
        <v>722965.09149999998</v>
      </c>
      <c r="G21" s="10">
        <v>637573.08270000003</v>
      </c>
      <c r="H21" s="10">
        <v>166860</v>
      </c>
      <c r="I21" s="10">
        <v>160834.44270000001</v>
      </c>
      <c r="J21" s="1"/>
      <c r="K21" s="1"/>
      <c r="L21" s="1"/>
    </row>
    <row r="22" spans="1:12" ht="13.4" customHeight="1">
      <c r="A22" s="1"/>
      <c r="B22" s="1"/>
      <c r="C22" s="1" t="s">
        <v>33</v>
      </c>
      <c r="D22" s="1">
        <v>20759</v>
      </c>
      <c r="E22" s="10">
        <v>1014065.2631000001</v>
      </c>
      <c r="F22" s="10">
        <v>698831.78879999998</v>
      </c>
      <c r="G22" s="10">
        <v>615985.92630000005</v>
      </c>
      <c r="H22" s="10">
        <v>165240</v>
      </c>
      <c r="I22" s="10">
        <v>149993.47430000006</v>
      </c>
      <c r="J22" s="1"/>
      <c r="K22" s="1"/>
      <c r="L22" s="1"/>
    </row>
    <row r="23" spans="1:12" ht="13.4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 ht="13.4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 ht="13.4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 ht="13.4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 ht="13.4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 ht="13.4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190"/>
  <sheetViews>
    <sheetView showGridLines="0" workbookViewId="0"/>
  </sheetViews>
  <sheetFormatPr defaultRowHeight="14"/>
  <cols>
    <col min="1" max="2" width="2" customWidth="1"/>
    <col min="3" max="3" width="31" customWidth="1"/>
    <col min="4" max="16" width="14" customWidth="1"/>
  </cols>
  <sheetData>
    <row r="1" spans="1:16" ht="13.4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13.4" customHeight="1">
      <c r="A2" s="1"/>
      <c r="B2" s="1"/>
      <c r="C2" s="2" t="s">
        <v>85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13.4" customHeight="1">
      <c r="A3" s="1"/>
      <c r="B3" s="1"/>
      <c r="C3" s="1" t="s">
        <v>86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ht="16" customHeight="1">
      <c r="A4" s="1"/>
      <c r="B4" s="1"/>
      <c r="C4" s="4" t="s">
        <v>87</v>
      </c>
      <c r="D4" s="4" t="s">
        <v>88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13.4" customHeight="1">
      <c r="A5" s="1"/>
      <c r="B5" s="1"/>
      <c r="C5" s="1" t="s">
        <v>89</v>
      </c>
      <c r="D5" s="13">
        <f>SUM(L15:L176)-SUM(J15:J176)</f>
        <v>2947464.3400000017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13.4" customHeight="1">
      <c r="A6" s="1"/>
      <c r="B6" s="1"/>
      <c r="C6" s="1" t="s">
        <v>90</v>
      </c>
      <c r="D6" s="13">
        <f>(SUM(G15:G176)-SUM(D15:D176))*(SUM(L15:L176)/SUM(D15:D176))</f>
        <v>129786.43944000833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1:16" ht="13.4" customHeight="1">
      <c r="A7" s="1"/>
      <c r="B7" s="1"/>
      <c r="C7" s="1" t="s">
        <v>91</v>
      </c>
      <c r="D7" s="13">
        <f>SUMPRODUCT(G15:G176,E15:E176)-SUMPRODUCT(G15:G176,F15:F176)-SUM(G15:G176)*SUM(L15:L176)/SUM(D15:D176)</f>
        <v>-16855.86944001168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 ht="13.4" customHeight="1">
      <c r="A8" s="1"/>
      <c r="B8" s="1"/>
      <c r="C8" s="1" t="s">
        <v>92</v>
      </c>
      <c r="D8" s="13">
        <f>SUM(N15:N176)</f>
        <v>-109876.9974999999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 ht="13.4" customHeight="1">
      <c r="A9" s="1"/>
      <c r="B9" s="1"/>
      <c r="C9" s="1" t="s">
        <v>60</v>
      </c>
      <c r="D9" s="13">
        <f>SUM(O15:O176)</f>
        <v>-250018.70329999938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spans="1:16" ht="13.4" customHeight="1">
      <c r="A10" s="1"/>
      <c r="B10" s="1"/>
      <c r="C10" s="1" t="s">
        <v>62</v>
      </c>
      <c r="D10" s="13">
        <f>SUM(J15:J176)-SUM(K15:K176)</f>
        <v>-72900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 ht="13.4" customHeight="1">
      <c r="A11" s="1"/>
      <c r="B11" s="1"/>
      <c r="C11" s="1" t="s">
        <v>93</v>
      </c>
      <c r="D11" s="13">
        <f>SUM(M15:M176)-SUM(K15:K176)</f>
        <v>2627599.2091999995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 ht="13.4" customHeight="1">
      <c r="A12" s="1"/>
      <c r="B12" s="1"/>
      <c r="C12" s="1" t="s">
        <v>94</v>
      </c>
      <c r="D12" s="13">
        <f>D11-D5-SUM(D6:D10)</f>
        <v>0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 ht="13.4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 ht="16" customHeight="1">
      <c r="A14" s="1"/>
      <c r="B14" s="1"/>
      <c r="C14" s="4" t="s">
        <v>95</v>
      </c>
      <c r="D14" s="4" t="s">
        <v>96</v>
      </c>
      <c r="E14" s="4" t="s">
        <v>97</v>
      </c>
      <c r="F14" s="4" t="s">
        <v>98</v>
      </c>
      <c r="G14" s="4" t="s">
        <v>99</v>
      </c>
      <c r="H14" s="4" t="s">
        <v>100</v>
      </c>
      <c r="I14" s="4" t="s">
        <v>101</v>
      </c>
      <c r="J14" s="4" t="s">
        <v>102</v>
      </c>
      <c r="K14" s="4" t="s">
        <v>103</v>
      </c>
      <c r="L14" s="4" t="s">
        <v>104</v>
      </c>
      <c r="M14" s="4" t="s">
        <v>105</v>
      </c>
      <c r="N14" s="4" t="s">
        <v>106</v>
      </c>
      <c r="O14" s="4" t="s">
        <v>107</v>
      </c>
      <c r="P14" s="1"/>
    </row>
    <row r="15" spans="1:16" ht="13.4" customHeight="1">
      <c r="A15" s="1"/>
      <c r="B15" s="1"/>
      <c r="C15" s="1" t="s">
        <v>108</v>
      </c>
      <c r="D15" s="1">
        <v>1530</v>
      </c>
      <c r="E15" s="1">
        <v>95</v>
      </c>
      <c r="F15" s="1">
        <v>67.2</v>
      </c>
      <c r="G15" s="1">
        <v>1598</v>
      </c>
      <c r="H15" s="1">
        <v>91.817599999999985</v>
      </c>
      <c r="I15" s="1">
        <v>67.090999999999994</v>
      </c>
      <c r="J15" s="1">
        <v>18000</v>
      </c>
      <c r="K15" s="1">
        <v>18450</v>
      </c>
      <c r="L15" s="5">
        <f t="shared" ref="L15:L46" si="0">D15*(E15-F15)</f>
        <v>42533.999999999993</v>
      </c>
      <c r="M15" s="5">
        <f t="shared" ref="M15:M46" si="1">G15*(H15-I15)</f>
        <v>39513.106799999987</v>
      </c>
      <c r="N15" s="5">
        <f t="shared" ref="N15:N46" si="2">G15*(H15-E15)</f>
        <v>-5085.4752000000244</v>
      </c>
      <c r="O15" s="5">
        <f t="shared" ref="O15:O46" si="3">-G15*(I15-F15)</f>
        <v>174.18200000001417</v>
      </c>
      <c r="P15" s="1"/>
    </row>
    <row r="16" spans="1:16" ht="13.4" customHeight="1">
      <c r="A16" s="1"/>
      <c r="B16" s="1"/>
      <c r="C16" s="1" t="s">
        <v>109</v>
      </c>
      <c r="D16" s="1">
        <v>1845</v>
      </c>
      <c r="E16" s="1">
        <v>44</v>
      </c>
      <c r="F16" s="1">
        <v>27.1</v>
      </c>
      <c r="G16" s="1">
        <v>1765</v>
      </c>
      <c r="H16" s="1">
        <v>44.404299999999999</v>
      </c>
      <c r="I16" s="1">
        <v>27.981300000000001</v>
      </c>
      <c r="J16" s="1">
        <v>18000</v>
      </c>
      <c r="K16" s="1">
        <v>18450</v>
      </c>
      <c r="L16" s="5">
        <f t="shared" si="0"/>
        <v>31180.499999999996</v>
      </c>
      <c r="M16" s="5">
        <f t="shared" si="1"/>
        <v>28986.594999999998</v>
      </c>
      <c r="N16" s="5">
        <f t="shared" si="2"/>
        <v>713.58949999999857</v>
      </c>
      <c r="O16" s="5">
        <f t="shared" si="3"/>
        <v>-1555.4944999999991</v>
      </c>
      <c r="P16" s="1"/>
    </row>
    <row r="17" spans="1:16" ht="13.4" customHeight="1">
      <c r="A17" s="1"/>
      <c r="B17" s="1"/>
      <c r="C17" s="1" t="s">
        <v>110</v>
      </c>
      <c r="D17" s="1">
        <v>2160</v>
      </c>
      <c r="E17" s="1">
        <v>19</v>
      </c>
      <c r="F17" s="1">
        <v>12.8</v>
      </c>
      <c r="G17" s="1">
        <v>2370</v>
      </c>
      <c r="H17" s="1">
        <v>18.434100000000001</v>
      </c>
      <c r="I17" s="1">
        <v>12.9391</v>
      </c>
      <c r="J17" s="1">
        <v>18000</v>
      </c>
      <c r="K17" s="1">
        <v>18450</v>
      </c>
      <c r="L17" s="5">
        <f t="shared" si="0"/>
        <v>13391.999999999998</v>
      </c>
      <c r="M17" s="5">
        <f t="shared" si="1"/>
        <v>13023.150000000001</v>
      </c>
      <c r="N17" s="5">
        <f t="shared" si="2"/>
        <v>-1341.1829999999982</v>
      </c>
      <c r="O17" s="5">
        <f t="shared" si="3"/>
        <v>-329.66699999999787</v>
      </c>
      <c r="P17" s="1"/>
    </row>
    <row r="18" spans="1:16" ht="13.4" customHeight="1">
      <c r="A18" s="1"/>
      <c r="B18" s="1"/>
      <c r="C18" s="1" t="s">
        <v>111</v>
      </c>
      <c r="D18" s="1">
        <v>1665</v>
      </c>
      <c r="E18" s="1">
        <v>95</v>
      </c>
      <c r="F18" s="1">
        <v>67.2</v>
      </c>
      <c r="G18" s="1">
        <v>1526</v>
      </c>
      <c r="H18" s="1">
        <v>92.921199999999999</v>
      </c>
      <c r="I18" s="1">
        <v>68.406599999999997</v>
      </c>
      <c r="J18" s="1">
        <v>18000</v>
      </c>
      <c r="K18" s="1">
        <v>18450</v>
      </c>
      <c r="L18" s="5">
        <f t="shared" si="0"/>
        <v>46286.999999999993</v>
      </c>
      <c r="M18" s="5">
        <f t="shared" si="1"/>
        <v>37409.279600000002</v>
      </c>
      <c r="N18" s="5">
        <f t="shared" si="2"/>
        <v>-3172.2488000000017</v>
      </c>
      <c r="O18" s="5">
        <f t="shared" si="3"/>
        <v>-1841.2715999999916</v>
      </c>
      <c r="P18" s="1"/>
    </row>
    <row r="19" spans="1:16" ht="13.4" customHeight="1">
      <c r="A19" s="1"/>
      <c r="B19" s="1"/>
      <c r="C19" s="1" t="s">
        <v>112</v>
      </c>
      <c r="D19" s="1">
        <v>1980</v>
      </c>
      <c r="E19" s="1">
        <v>44</v>
      </c>
      <c r="F19" s="1">
        <v>27.1</v>
      </c>
      <c r="G19" s="1">
        <v>1813</v>
      </c>
      <c r="H19" s="1">
        <v>42.984900000000003</v>
      </c>
      <c r="I19" s="1">
        <v>27.919499999999999</v>
      </c>
      <c r="J19" s="1">
        <v>18000</v>
      </c>
      <c r="K19" s="1">
        <v>18450</v>
      </c>
      <c r="L19" s="5">
        <f t="shared" si="0"/>
        <v>33462</v>
      </c>
      <c r="M19" s="5">
        <f t="shared" si="1"/>
        <v>27313.570200000006</v>
      </c>
      <c r="N19" s="5">
        <f t="shared" si="2"/>
        <v>-1840.3762999999942</v>
      </c>
      <c r="O19" s="5">
        <f t="shared" si="3"/>
        <v>-1485.7534999999962</v>
      </c>
      <c r="P19" s="1"/>
    </row>
    <row r="20" spans="1:16" ht="13.4" customHeight="1">
      <c r="A20" s="1"/>
      <c r="B20" s="1"/>
      <c r="C20" s="1" t="s">
        <v>113</v>
      </c>
      <c r="D20" s="1">
        <v>2295</v>
      </c>
      <c r="E20" s="1">
        <v>19</v>
      </c>
      <c r="F20" s="1">
        <v>12.8</v>
      </c>
      <c r="G20" s="1">
        <v>2351</v>
      </c>
      <c r="H20" s="1">
        <v>18.586300000000001</v>
      </c>
      <c r="I20" s="1">
        <v>13.1211</v>
      </c>
      <c r="J20" s="1">
        <v>18000</v>
      </c>
      <c r="K20" s="1">
        <v>18450</v>
      </c>
      <c r="L20" s="5">
        <f t="shared" si="0"/>
        <v>14228.999999999998</v>
      </c>
      <c r="M20" s="5">
        <f t="shared" si="1"/>
        <v>12848.685200000004</v>
      </c>
      <c r="N20" s="5">
        <f t="shared" si="2"/>
        <v>-972.60869999999682</v>
      </c>
      <c r="O20" s="5">
        <f t="shared" si="3"/>
        <v>-754.90609999999879</v>
      </c>
      <c r="P20" s="1"/>
    </row>
    <row r="21" spans="1:16" ht="13.4" customHeight="1">
      <c r="A21" s="1"/>
      <c r="B21" s="1"/>
      <c r="C21" s="1" t="s">
        <v>114</v>
      </c>
      <c r="D21" s="1">
        <v>1800</v>
      </c>
      <c r="E21" s="1">
        <v>95</v>
      </c>
      <c r="F21" s="1">
        <v>67.2</v>
      </c>
      <c r="G21" s="1">
        <v>1944</v>
      </c>
      <c r="H21" s="1">
        <v>91.712000000000003</v>
      </c>
      <c r="I21" s="1">
        <v>70.122799999999984</v>
      </c>
      <c r="J21" s="1">
        <v>18000</v>
      </c>
      <c r="K21" s="1">
        <v>18450</v>
      </c>
      <c r="L21" s="5">
        <f t="shared" si="0"/>
        <v>50039.999999999993</v>
      </c>
      <c r="M21" s="5">
        <f t="shared" si="1"/>
        <v>41969.40480000004</v>
      </c>
      <c r="N21" s="5">
        <f t="shared" si="2"/>
        <v>-6391.8719999999939</v>
      </c>
      <c r="O21" s="5">
        <f t="shared" si="3"/>
        <v>-5681.9231999999629</v>
      </c>
      <c r="P21" s="1"/>
    </row>
    <row r="22" spans="1:16" ht="13.4" customHeight="1">
      <c r="A22" s="1"/>
      <c r="B22" s="1"/>
      <c r="C22" s="1" t="s">
        <v>115</v>
      </c>
      <c r="D22" s="1">
        <v>2115</v>
      </c>
      <c r="E22" s="1">
        <v>44</v>
      </c>
      <c r="F22" s="1">
        <v>27.1</v>
      </c>
      <c r="G22" s="1">
        <v>2235</v>
      </c>
      <c r="H22" s="1">
        <v>43.358300000000007</v>
      </c>
      <c r="I22" s="1">
        <v>26.7806</v>
      </c>
      <c r="J22" s="1">
        <v>18000</v>
      </c>
      <c r="K22" s="1">
        <v>18450</v>
      </c>
      <c r="L22" s="5">
        <f t="shared" si="0"/>
        <v>35743.5</v>
      </c>
      <c r="M22" s="5">
        <f t="shared" si="1"/>
        <v>37051.159500000016</v>
      </c>
      <c r="N22" s="5">
        <f t="shared" si="2"/>
        <v>-1434.1994999999845</v>
      </c>
      <c r="O22" s="5">
        <f t="shared" si="3"/>
        <v>713.85900000000379</v>
      </c>
      <c r="P22" s="1"/>
    </row>
    <row r="23" spans="1:16" ht="13.4" customHeight="1">
      <c r="A23" s="1"/>
      <c r="B23" s="1"/>
      <c r="C23" s="1" t="s">
        <v>116</v>
      </c>
      <c r="D23" s="1">
        <v>2430</v>
      </c>
      <c r="E23" s="1">
        <v>19</v>
      </c>
      <c r="F23" s="1">
        <v>12.8</v>
      </c>
      <c r="G23" s="1">
        <v>2700</v>
      </c>
      <c r="H23" s="1">
        <v>18.718699999999998</v>
      </c>
      <c r="I23" s="1">
        <v>12.5809</v>
      </c>
      <c r="J23" s="1">
        <v>18000</v>
      </c>
      <c r="K23" s="1">
        <v>18450</v>
      </c>
      <c r="L23" s="5">
        <f t="shared" si="0"/>
        <v>15065.999999999998</v>
      </c>
      <c r="M23" s="5">
        <f t="shared" si="1"/>
        <v>16572.059999999998</v>
      </c>
      <c r="N23" s="5">
        <f t="shared" si="2"/>
        <v>-759.51000000000454</v>
      </c>
      <c r="O23" s="5">
        <f t="shared" si="3"/>
        <v>591.57000000000255</v>
      </c>
      <c r="P23" s="1"/>
    </row>
    <row r="24" spans="1:16" ht="13.4" customHeight="1">
      <c r="A24" s="1"/>
      <c r="B24" s="1"/>
      <c r="C24" s="1" t="s">
        <v>117</v>
      </c>
      <c r="D24" s="1">
        <v>1530</v>
      </c>
      <c r="E24" s="1">
        <v>95</v>
      </c>
      <c r="F24" s="1">
        <v>67.2</v>
      </c>
      <c r="G24" s="1">
        <v>1423</v>
      </c>
      <c r="H24" s="1">
        <v>96.505700000000004</v>
      </c>
      <c r="I24" s="1">
        <v>68.968499999999992</v>
      </c>
      <c r="J24" s="1">
        <v>18000</v>
      </c>
      <c r="K24" s="1">
        <v>18540</v>
      </c>
      <c r="L24" s="5">
        <f t="shared" si="0"/>
        <v>42533.999999999993</v>
      </c>
      <c r="M24" s="5">
        <f t="shared" si="1"/>
        <v>39185.435600000019</v>
      </c>
      <c r="N24" s="5">
        <f t="shared" si="2"/>
        <v>2142.6111000000064</v>
      </c>
      <c r="O24" s="5">
        <f t="shared" si="3"/>
        <v>-2516.575499999984</v>
      </c>
      <c r="P24" s="1"/>
    </row>
    <row r="25" spans="1:16" ht="13.4" customHeight="1">
      <c r="A25" s="1"/>
      <c r="B25" s="1"/>
      <c r="C25" s="1" t="s">
        <v>118</v>
      </c>
      <c r="D25" s="1">
        <v>1845</v>
      </c>
      <c r="E25" s="1">
        <v>44</v>
      </c>
      <c r="F25" s="1">
        <v>27.1</v>
      </c>
      <c r="G25" s="1">
        <v>1992</v>
      </c>
      <c r="H25" s="1">
        <v>44.386499999999998</v>
      </c>
      <c r="I25" s="1">
        <v>27.657699999999998</v>
      </c>
      <c r="J25" s="1">
        <v>18000</v>
      </c>
      <c r="K25" s="1">
        <v>18540</v>
      </c>
      <c r="L25" s="5">
        <f t="shared" si="0"/>
        <v>31180.499999999996</v>
      </c>
      <c r="M25" s="5">
        <f t="shared" si="1"/>
        <v>33323.7696</v>
      </c>
      <c r="N25" s="5">
        <f t="shared" si="2"/>
        <v>769.90799999999615</v>
      </c>
      <c r="O25" s="5">
        <f t="shared" si="3"/>
        <v>-1110.9383999999941</v>
      </c>
      <c r="P25" s="1"/>
    </row>
    <row r="26" spans="1:16" ht="13.4" customHeight="1">
      <c r="A26" s="1"/>
      <c r="B26" s="1"/>
      <c r="C26" s="1" t="s">
        <v>119</v>
      </c>
      <c r="D26" s="1">
        <v>2160</v>
      </c>
      <c r="E26" s="1">
        <v>19</v>
      </c>
      <c r="F26" s="1">
        <v>12.8</v>
      </c>
      <c r="G26" s="1">
        <v>2407</v>
      </c>
      <c r="H26" s="1">
        <v>18.766500000000001</v>
      </c>
      <c r="I26" s="1">
        <v>13.0806</v>
      </c>
      <c r="J26" s="1">
        <v>18000</v>
      </c>
      <c r="K26" s="1">
        <v>18540</v>
      </c>
      <c r="L26" s="5">
        <f t="shared" si="0"/>
        <v>13391.999999999998</v>
      </c>
      <c r="M26" s="5">
        <f t="shared" si="1"/>
        <v>13685.961300000001</v>
      </c>
      <c r="N26" s="5">
        <f t="shared" si="2"/>
        <v>-562.0344999999985</v>
      </c>
      <c r="O26" s="5">
        <f t="shared" si="3"/>
        <v>-675.40419999999938</v>
      </c>
      <c r="P26" s="1"/>
    </row>
    <row r="27" spans="1:16" ht="13.4" customHeight="1">
      <c r="A27" s="1"/>
      <c r="B27" s="1"/>
      <c r="C27" s="1" t="s">
        <v>120</v>
      </c>
      <c r="D27" s="1">
        <v>1665</v>
      </c>
      <c r="E27" s="1">
        <v>95</v>
      </c>
      <c r="F27" s="1">
        <v>67.2</v>
      </c>
      <c r="G27" s="1">
        <v>1805</v>
      </c>
      <c r="H27" s="1">
        <v>95.200600000000009</v>
      </c>
      <c r="I27" s="1">
        <v>70.442099999999996</v>
      </c>
      <c r="J27" s="1">
        <v>18000</v>
      </c>
      <c r="K27" s="1">
        <v>18540</v>
      </c>
      <c r="L27" s="5">
        <f t="shared" si="0"/>
        <v>46286.999999999993</v>
      </c>
      <c r="M27" s="5">
        <f t="shared" si="1"/>
        <v>44689.092500000021</v>
      </c>
      <c r="N27" s="5">
        <f t="shared" si="2"/>
        <v>362.08300000001543</v>
      </c>
      <c r="O27" s="5">
        <f t="shared" si="3"/>
        <v>-5851.9904999999881</v>
      </c>
      <c r="P27" s="1"/>
    </row>
    <row r="28" spans="1:16" ht="13.4" customHeight="1">
      <c r="A28" s="1"/>
      <c r="B28" s="1"/>
      <c r="C28" s="1" t="s">
        <v>121</v>
      </c>
      <c r="D28" s="1">
        <v>1980</v>
      </c>
      <c r="E28" s="1">
        <v>44</v>
      </c>
      <c r="F28" s="1">
        <v>27.1</v>
      </c>
      <c r="G28" s="1">
        <v>2042</v>
      </c>
      <c r="H28" s="1">
        <v>44.320099999999996</v>
      </c>
      <c r="I28" s="1">
        <v>26.528099999999998</v>
      </c>
      <c r="J28" s="1">
        <v>18000</v>
      </c>
      <c r="K28" s="1">
        <v>18540</v>
      </c>
      <c r="L28" s="5">
        <f t="shared" si="0"/>
        <v>33462</v>
      </c>
      <c r="M28" s="5">
        <f t="shared" si="1"/>
        <v>36331.263999999996</v>
      </c>
      <c r="N28" s="5">
        <f t="shared" si="2"/>
        <v>653.64419999999291</v>
      </c>
      <c r="O28" s="5">
        <f t="shared" si="3"/>
        <v>1167.8198000000061</v>
      </c>
      <c r="P28" s="1"/>
    </row>
    <row r="29" spans="1:16" ht="13.4" customHeight="1">
      <c r="A29" s="1"/>
      <c r="B29" s="1"/>
      <c r="C29" s="1" t="s">
        <v>122</v>
      </c>
      <c r="D29" s="1">
        <v>2295</v>
      </c>
      <c r="E29" s="1">
        <v>19</v>
      </c>
      <c r="F29" s="1">
        <v>12.8</v>
      </c>
      <c r="G29" s="1">
        <v>2198</v>
      </c>
      <c r="H29" s="1">
        <v>18.664899999999999</v>
      </c>
      <c r="I29" s="1">
        <v>12.566799999999999</v>
      </c>
      <c r="J29" s="1">
        <v>18000</v>
      </c>
      <c r="K29" s="1">
        <v>18540</v>
      </c>
      <c r="L29" s="5">
        <f t="shared" si="0"/>
        <v>14228.999999999998</v>
      </c>
      <c r="M29" s="5">
        <f t="shared" si="1"/>
        <v>13403.623800000001</v>
      </c>
      <c r="N29" s="5">
        <f t="shared" si="2"/>
        <v>-736.54980000000137</v>
      </c>
      <c r="O29" s="5">
        <f t="shared" si="3"/>
        <v>512.57360000000403</v>
      </c>
      <c r="P29" s="1"/>
    </row>
    <row r="30" spans="1:16" ht="13.4" customHeight="1">
      <c r="A30" s="1"/>
      <c r="B30" s="1"/>
      <c r="C30" s="1" t="s">
        <v>123</v>
      </c>
      <c r="D30" s="1">
        <v>1800</v>
      </c>
      <c r="E30" s="1">
        <v>95</v>
      </c>
      <c r="F30" s="1">
        <v>67.2</v>
      </c>
      <c r="G30" s="1">
        <v>1726</v>
      </c>
      <c r="H30" s="1">
        <v>92.250699999999995</v>
      </c>
      <c r="I30" s="1">
        <v>67.107799999999997</v>
      </c>
      <c r="J30" s="1">
        <v>18000</v>
      </c>
      <c r="K30" s="1">
        <v>18540</v>
      </c>
      <c r="L30" s="5">
        <f t="shared" si="0"/>
        <v>50039.999999999993</v>
      </c>
      <c r="M30" s="5">
        <f t="shared" si="1"/>
        <v>43396.645399999994</v>
      </c>
      <c r="N30" s="5">
        <f t="shared" si="2"/>
        <v>-4745.2918000000091</v>
      </c>
      <c r="O30" s="5">
        <f t="shared" si="3"/>
        <v>159.1372000000093</v>
      </c>
      <c r="P30" s="1"/>
    </row>
    <row r="31" spans="1:16" ht="13.4" customHeight="1">
      <c r="A31" s="1"/>
      <c r="B31" s="1"/>
      <c r="C31" s="1" t="s">
        <v>124</v>
      </c>
      <c r="D31" s="1">
        <v>2115</v>
      </c>
      <c r="E31" s="1">
        <v>44</v>
      </c>
      <c r="F31" s="1">
        <v>27.1</v>
      </c>
      <c r="G31" s="1">
        <v>2207</v>
      </c>
      <c r="H31" s="1">
        <v>43.423200000000008</v>
      </c>
      <c r="I31" s="1">
        <v>27.275200000000002</v>
      </c>
      <c r="J31" s="1">
        <v>18000</v>
      </c>
      <c r="K31" s="1">
        <v>18540</v>
      </c>
      <c r="L31" s="5">
        <f t="shared" si="0"/>
        <v>35743.5</v>
      </c>
      <c r="M31" s="5">
        <f t="shared" si="1"/>
        <v>35638.636000000013</v>
      </c>
      <c r="N31" s="5">
        <f t="shared" si="2"/>
        <v>-1272.9975999999813</v>
      </c>
      <c r="O31" s="5">
        <f t="shared" si="3"/>
        <v>-386.66640000000052</v>
      </c>
      <c r="P31" s="1"/>
    </row>
    <row r="32" spans="1:16" ht="13.4" customHeight="1">
      <c r="A32" s="1"/>
      <c r="B32" s="1"/>
      <c r="C32" s="1" t="s">
        <v>125</v>
      </c>
      <c r="D32" s="1">
        <v>2430</v>
      </c>
      <c r="E32" s="1">
        <v>19</v>
      </c>
      <c r="F32" s="1">
        <v>12.8</v>
      </c>
      <c r="G32" s="1">
        <v>2318</v>
      </c>
      <c r="H32" s="1">
        <v>18.639399999999998</v>
      </c>
      <c r="I32" s="1">
        <v>13.4991</v>
      </c>
      <c r="J32" s="1">
        <v>18000</v>
      </c>
      <c r="K32" s="1">
        <v>18540</v>
      </c>
      <c r="L32" s="5">
        <f t="shared" si="0"/>
        <v>15065.999999999998</v>
      </c>
      <c r="M32" s="5">
        <f t="shared" si="1"/>
        <v>11915.215399999995</v>
      </c>
      <c r="N32" s="5">
        <f t="shared" si="2"/>
        <v>-835.87080000000367</v>
      </c>
      <c r="O32" s="5">
        <f t="shared" si="3"/>
        <v>-1620.513799999999</v>
      </c>
      <c r="P32" s="1"/>
    </row>
    <row r="33" spans="1:16" ht="13.4" customHeight="1">
      <c r="A33" s="1"/>
      <c r="B33" s="1"/>
      <c r="C33" s="1" t="s">
        <v>126</v>
      </c>
      <c r="D33" s="1">
        <v>1700</v>
      </c>
      <c r="E33" s="1">
        <v>95</v>
      </c>
      <c r="F33" s="1">
        <v>67.2</v>
      </c>
      <c r="G33" s="1">
        <v>1778</v>
      </c>
      <c r="H33" s="1">
        <v>95.147000000000006</v>
      </c>
      <c r="I33" s="1">
        <v>66.497500000000002</v>
      </c>
      <c r="J33" s="1">
        <v>18000</v>
      </c>
      <c r="K33" s="1">
        <v>18360</v>
      </c>
      <c r="L33" s="5">
        <f t="shared" si="0"/>
        <v>47259.999999999993</v>
      </c>
      <c r="M33" s="5">
        <f t="shared" si="1"/>
        <v>50938.811000000009</v>
      </c>
      <c r="N33" s="5">
        <f t="shared" si="2"/>
        <v>261.36600000000988</v>
      </c>
      <c r="O33" s="5">
        <f t="shared" si="3"/>
        <v>1249.045000000001</v>
      </c>
      <c r="P33" s="1"/>
    </row>
    <row r="34" spans="1:16" ht="13.4" customHeight="1">
      <c r="A34" s="1"/>
      <c r="B34" s="1"/>
      <c r="C34" s="1" t="s">
        <v>127</v>
      </c>
      <c r="D34" s="1">
        <v>2050</v>
      </c>
      <c r="E34" s="1">
        <v>44</v>
      </c>
      <c r="F34" s="1">
        <v>27.1</v>
      </c>
      <c r="G34" s="1">
        <v>2179</v>
      </c>
      <c r="H34" s="1">
        <v>42.891399999999997</v>
      </c>
      <c r="I34" s="1">
        <v>27.296600000000002</v>
      </c>
      <c r="J34" s="1">
        <v>18000</v>
      </c>
      <c r="K34" s="1">
        <v>18360</v>
      </c>
      <c r="L34" s="5">
        <f t="shared" si="0"/>
        <v>34645</v>
      </c>
      <c r="M34" s="5">
        <f t="shared" si="1"/>
        <v>33981.069199999991</v>
      </c>
      <c r="N34" s="5">
        <f t="shared" si="2"/>
        <v>-2415.6394000000059</v>
      </c>
      <c r="O34" s="5">
        <f t="shared" si="3"/>
        <v>-428.39140000000026</v>
      </c>
      <c r="P34" s="1"/>
    </row>
    <row r="35" spans="1:16" ht="13.4" customHeight="1">
      <c r="A35" s="1"/>
      <c r="B35" s="1"/>
      <c r="C35" s="1" t="s">
        <v>128</v>
      </c>
      <c r="D35" s="1">
        <v>2400</v>
      </c>
      <c r="E35" s="1">
        <v>19</v>
      </c>
      <c r="F35" s="1">
        <v>12.8</v>
      </c>
      <c r="G35" s="1">
        <v>2683</v>
      </c>
      <c r="H35" s="1">
        <v>19.064599999999999</v>
      </c>
      <c r="I35" s="1">
        <v>13.086000000000002</v>
      </c>
      <c r="J35" s="1">
        <v>18000</v>
      </c>
      <c r="K35" s="1">
        <v>18360</v>
      </c>
      <c r="L35" s="5">
        <f t="shared" si="0"/>
        <v>14879.999999999998</v>
      </c>
      <c r="M35" s="5">
        <f t="shared" si="1"/>
        <v>16040.583799999991</v>
      </c>
      <c r="N35" s="5">
        <f t="shared" si="2"/>
        <v>173.32179999999641</v>
      </c>
      <c r="O35" s="5">
        <f t="shared" si="3"/>
        <v>-767.3380000000036</v>
      </c>
      <c r="P35" s="1"/>
    </row>
    <row r="36" spans="1:16" ht="13.4" customHeight="1">
      <c r="A36" s="1"/>
      <c r="B36" s="1"/>
      <c r="C36" s="1" t="s">
        <v>129</v>
      </c>
      <c r="D36" s="1">
        <v>1850</v>
      </c>
      <c r="E36" s="1">
        <v>95</v>
      </c>
      <c r="F36" s="1">
        <v>67.2</v>
      </c>
      <c r="G36" s="1">
        <v>1949</v>
      </c>
      <c r="H36" s="1">
        <v>96.479299999999995</v>
      </c>
      <c r="I36" s="1">
        <v>69.952500000000015</v>
      </c>
      <c r="J36" s="1">
        <v>18000</v>
      </c>
      <c r="K36" s="1">
        <v>18360</v>
      </c>
      <c r="L36" s="5">
        <f t="shared" si="0"/>
        <v>51429.999999999993</v>
      </c>
      <c r="M36" s="5">
        <f t="shared" si="1"/>
        <v>51700.733199999959</v>
      </c>
      <c r="N36" s="5">
        <f t="shared" si="2"/>
        <v>2883.1556999999902</v>
      </c>
      <c r="O36" s="5">
        <f t="shared" si="3"/>
        <v>-5364.6225000000231</v>
      </c>
      <c r="P36" s="1"/>
    </row>
    <row r="37" spans="1:16" ht="13.4" customHeight="1">
      <c r="A37" s="1"/>
      <c r="B37" s="1"/>
      <c r="C37" s="1" t="s">
        <v>130</v>
      </c>
      <c r="D37" s="1">
        <v>2200</v>
      </c>
      <c r="E37" s="1">
        <v>44</v>
      </c>
      <c r="F37" s="1">
        <v>27.1</v>
      </c>
      <c r="G37" s="1">
        <v>2108</v>
      </c>
      <c r="H37" s="1">
        <v>42.544699999999999</v>
      </c>
      <c r="I37" s="1">
        <v>27.149099999999997</v>
      </c>
      <c r="J37" s="1">
        <v>18000</v>
      </c>
      <c r="K37" s="1">
        <v>18360</v>
      </c>
      <c r="L37" s="5">
        <f t="shared" si="0"/>
        <v>37180</v>
      </c>
      <c r="M37" s="5">
        <f t="shared" si="1"/>
        <v>32453.924800000004</v>
      </c>
      <c r="N37" s="5">
        <f t="shared" si="2"/>
        <v>-3067.7724000000026</v>
      </c>
      <c r="O37" s="5">
        <f t="shared" si="3"/>
        <v>-103.50279999999094</v>
      </c>
      <c r="P37" s="1"/>
    </row>
    <row r="38" spans="1:16" ht="13.4" customHeight="1">
      <c r="A38" s="1"/>
      <c r="B38" s="1"/>
      <c r="C38" s="1" t="s">
        <v>131</v>
      </c>
      <c r="D38" s="1">
        <v>2550</v>
      </c>
      <c r="E38" s="1">
        <v>19</v>
      </c>
      <c r="F38" s="1">
        <v>12.8</v>
      </c>
      <c r="G38" s="1">
        <v>2464</v>
      </c>
      <c r="H38" s="1">
        <v>18.575500000000002</v>
      </c>
      <c r="I38" s="1">
        <v>13.505899999999999</v>
      </c>
      <c r="J38" s="1">
        <v>18000</v>
      </c>
      <c r="K38" s="1">
        <v>18360</v>
      </c>
      <c r="L38" s="5">
        <f t="shared" si="0"/>
        <v>15809.999999999998</v>
      </c>
      <c r="M38" s="5">
        <f t="shared" si="1"/>
        <v>12491.494400000007</v>
      </c>
      <c r="N38" s="5">
        <f t="shared" si="2"/>
        <v>-1045.9679999999958</v>
      </c>
      <c r="O38" s="5">
        <f t="shared" si="3"/>
        <v>-1739.3375999999951</v>
      </c>
      <c r="P38" s="1"/>
    </row>
    <row r="39" spans="1:16" ht="13.4" customHeight="1">
      <c r="A39" s="1"/>
      <c r="B39" s="1"/>
      <c r="C39" s="1" t="s">
        <v>132</v>
      </c>
      <c r="D39" s="1">
        <v>2000</v>
      </c>
      <c r="E39" s="1">
        <v>95</v>
      </c>
      <c r="F39" s="1">
        <v>67.2</v>
      </c>
      <c r="G39" s="1">
        <v>2188</v>
      </c>
      <c r="H39" s="1">
        <v>93.468699999999998</v>
      </c>
      <c r="I39" s="1">
        <v>69.263900000000007</v>
      </c>
      <c r="J39" s="1">
        <v>18000</v>
      </c>
      <c r="K39" s="1">
        <v>18360</v>
      </c>
      <c r="L39" s="5">
        <f t="shared" si="0"/>
        <v>55599.999999999993</v>
      </c>
      <c r="M39" s="5">
        <f t="shared" si="1"/>
        <v>52960.102399999982</v>
      </c>
      <c r="N39" s="5">
        <f t="shared" si="2"/>
        <v>-3350.4844000000035</v>
      </c>
      <c r="O39" s="5">
        <f t="shared" si="3"/>
        <v>-4515.8132000000087</v>
      </c>
      <c r="P39" s="1"/>
    </row>
    <row r="40" spans="1:16" ht="13.4" customHeight="1">
      <c r="A40" s="1"/>
      <c r="B40" s="1"/>
      <c r="C40" s="1" t="s">
        <v>133</v>
      </c>
      <c r="D40" s="1">
        <v>2350</v>
      </c>
      <c r="E40" s="1">
        <v>44</v>
      </c>
      <c r="F40" s="1">
        <v>27.1</v>
      </c>
      <c r="G40" s="1">
        <v>2334</v>
      </c>
      <c r="H40" s="1">
        <v>44.874400000000001</v>
      </c>
      <c r="I40" s="1">
        <v>27.479500000000002</v>
      </c>
      <c r="J40" s="1">
        <v>18000</v>
      </c>
      <c r="K40" s="1">
        <v>18360</v>
      </c>
      <c r="L40" s="5">
        <f t="shared" si="0"/>
        <v>39715</v>
      </c>
      <c r="M40" s="5">
        <f t="shared" si="1"/>
        <v>40599.696600000003</v>
      </c>
      <c r="N40" s="5">
        <f t="shared" si="2"/>
        <v>2040.8496000000032</v>
      </c>
      <c r="O40" s="5">
        <f t="shared" si="3"/>
        <v>-885.75300000000038</v>
      </c>
      <c r="P40" s="1"/>
    </row>
    <row r="41" spans="1:16" ht="13.4" customHeight="1">
      <c r="A41" s="1"/>
      <c r="B41" s="1"/>
      <c r="C41" s="1" t="s">
        <v>134</v>
      </c>
      <c r="D41" s="1">
        <v>2700</v>
      </c>
      <c r="E41" s="1">
        <v>19</v>
      </c>
      <c r="F41" s="1">
        <v>12.8</v>
      </c>
      <c r="G41" s="1">
        <v>2607</v>
      </c>
      <c r="H41" s="1">
        <v>18.616199999999999</v>
      </c>
      <c r="I41" s="1">
        <v>13.090799999999998</v>
      </c>
      <c r="J41" s="1">
        <v>18000</v>
      </c>
      <c r="K41" s="1">
        <v>18360</v>
      </c>
      <c r="L41" s="5">
        <f t="shared" si="0"/>
        <v>16739.999999999996</v>
      </c>
      <c r="M41" s="5">
        <f t="shared" si="1"/>
        <v>14404.717800000004</v>
      </c>
      <c r="N41" s="5">
        <f t="shared" si="2"/>
        <v>-1000.5666000000022</v>
      </c>
      <c r="O41" s="5">
        <f t="shared" si="3"/>
        <v>-758.11559999999292</v>
      </c>
      <c r="P41" s="1"/>
    </row>
    <row r="42" spans="1:16" ht="13.4" customHeight="1">
      <c r="A42" s="1"/>
      <c r="B42" s="1"/>
      <c r="C42" s="1" t="s">
        <v>135</v>
      </c>
      <c r="D42" s="1">
        <v>1700</v>
      </c>
      <c r="E42" s="1">
        <v>95</v>
      </c>
      <c r="F42" s="1">
        <v>67.2</v>
      </c>
      <c r="G42" s="1">
        <v>1641</v>
      </c>
      <c r="H42" s="1">
        <v>95.007099999999994</v>
      </c>
      <c r="I42" s="1">
        <v>70.648399999999995</v>
      </c>
      <c r="J42" s="1">
        <v>18000</v>
      </c>
      <c r="K42" s="1">
        <v>18450</v>
      </c>
      <c r="L42" s="5">
        <f t="shared" si="0"/>
        <v>47259.999999999993</v>
      </c>
      <c r="M42" s="5">
        <f t="shared" si="1"/>
        <v>39972.626700000001</v>
      </c>
      <c r="N42" s="5">
        <f t="shared" si="2"/>
        <v>11.651099999990336</v>
      </c>
      <c r="O42" s="5">
        <f t="shared" si="3"/>
        <v>-5658.8243999999877</v>
      </c>
      <c r="P42" s="1"/>
    </row>
    <row r="43" spans="1:16" ht="13.4" customHeight="1">
      <c r="A43" s="1"/>
      <c r="B43" s="1"/>
      <c r="C43" s="1" t="s">
        <v>136</v>
      </c>
      <c r="D43" s="1">
        <v>2050</v>
      </c>
      <c r="E43" s="1">
        <v>44</v>
      </c>
      <c r="F43" s="1">
        <v>27.1</v>
      </c>
      <c r="G43" s="1">
        <v>2037</v>
      </c>
      <c r="H43" s="1">
        <v>43.039000000000001</v>
      </c>
      <c r="I43" s="1">
        <v>28.720300000000002</v>
      </c>
      <c r="J43" s="1">
        <v>18000</v>
      </c>
      <c r="K43" s="1">
        <v>18450</v>
      </c>
      <c r="L43" s="5">
        <f t="shared" si="0"/>
        <v>34645</v>
      </c>
      <c r="M43" s="5">
        <f t="shared" si="1"/>
        <v>29167.191899999998</v>
      </c>
      <c r="N43" s="5">
        <f t="shared" si="2"/>
        <v>-1957.5569999999971</v>
      </c>
      <c r="O43" s="5">
        <f t="shared" si="3"/>
        <v>-3300.5511000000006</v>
      </c>
      <c r="P43" s="1"/>
    </row>
    <row r="44" spans="1:16" ht="13.4" customHeight="1">
      <c r="A44" s="1"/>
      <c r="B44" s="1"/>
      <c r="C44" s="1" t="s">
        <v>137</v>
      </c>
      <c r="D44" s="1">
        <v>2400</v>
      </c>
      <c r="E44" s="1">
        <v>19</v>
      </c>
      <c r="F44" s="1">
        <v>12.8</v>
      </c>
      <c r="G44" s="1">
        <v>2441</v>
      </c>
      <c r="H44" s="1">
        <v>18.438600000000001</v>
      </c>
      <c r="I44" s="1">
        <v>12.5313</v>
      </c>
      <c r="J44" s="1">
        <v>18000</v>
      </c>
      <c r="K44" s="1">
        <v>18450</v>
      </c>
      <c r="L44" s="5">
        <f t="shared" si="0"/>
        <v>14879.999999999998</v>
      </c>
      <c r="M44" s="5">
        <f t="shared" si="1"/>
        <v>14419.719300000002</v>
      </c>
      <c r="N44" s="5">
        <f t="shared" si="2"/>
        <v>-1370.3773999999976</v>
      </c>
      <c r="O44" s="5">
        <f t="shared" si="3"/>
        <v>655.89670000000206</v>
      </c>
      <c r="P44" s="1"/>
    </row>
    <row r="45" spans="1:16" ht="13.4" customHeight="1">
      <c r="A45" s="1"/>
      <c r="B45" s="1"/>
      <c r="C45" s="1" t="s">
        <v>138</v>
      </c>
      <c r="D45" s="1">
        <v>1850</v>
      </c>
      <c r="E45" s="1">
        <v>95</v>
      </c>
      <c r="F45" s="1">
        <v>67.2</v>
      </c>
      <c r="G45" s="1">
        <v>1726</v>
      </c>
      <c r="H45" s="1">
        <v>95.251400000000004</v>
      </c>
      <c r="I45" s="1">
        <v>70.044399999999996</v>
      </c>
      <c r="J45" s="1">
        <v>18000</v>
      </c>
      <c r="K45" s="1">
        <v>18450</v>
      </c>
      <c r="L45" s="5">
        <f t="shared" si="0"/>
        <v>51429.999999999993</v>
      </c>
      <c r="M45" s="5">
        <f t="shared" si="1"/>
        <v>43507.282000000014</v>
      </c>
      <c r="N45" s="5">
        <f t="shared" si="2"/>
        <v>433.91640000000666</v>
      </c>
      <c r="O45" s="5">
        <f t="shared" si="3"/>
        <v>-4909.4343999999883</v>
      </c>
      <c r="P45" s="1"/>
    </row>
    <row r="46" spans="1:16" ht="13.4" customHeight="1">
      <c r="A46" s="1"/>
      <c r="B46" s="1"/>
      <c r="C46" s="1" t="s">
        <v>139</v>
      </c>
      <c r="D46" s="1">
        <v>2200</v>
      </c>
      <c r="E46" s="1">
        <v>44</v>
      </c>
      <c r="F46" s="1">
        <v>27.1</v>
      </c>
      <c r="G46" s="1">
        <v>2197</v>
      </c>
      <c r="H46" s="1">
        <v>42.627699999999997</v>
      </c>
      <c r="I46" s="1">
        <v>27.301600000000001</v>
      </c>
      <c r="J46" s="1">
        <v>18000</v>
      </c>
      <c r="K46" s="1">
        <v>18450</v>
      </c>
      <c r="L46" s="5">
        <f t="shared" si="0"/>
        <v>37180</v>
      </c>
      <c r="M46" s="5">
        <f t="shared" si="1"/>
        <v>33671.441699999996</v>
      </c>
      <c r="N46" s="5">
        <f t="shared" si="2"/>
        <v>-3014.9431000000059</v>
      </c>
      <c r="O46" s="5">
        <f t="shared" si="3"/>
        <v>-442.91519999999804</v>
      </c>
      <c r="P46" s="1"/>
    </row>
    <row r="47" spans="1:16" ht="13.4" customHeight="1">
      <c r="A47" s="1"/>
      <c r="B47" s="1"/>
      <c r="C47" s="1" t="s">
        <v>140</v>
      </c>
      <c r="D47" s="1">
        <v>2550</v>
      </c>
      <c r="E47" s="1">
        <v>19</v>
      </c>
      <c r="F47" s="1">
        <v>12.8</v>
      </c>
      <c r="G47" s="1">
        <v>2854</v>
      </c>
      <c r="H47" s="1">
        <v>18.938199999999995</v>
      </c>
      <c r="I47" s="1">
        <v>13.5365</v>
      </c>
      <c r="J47" s="1">
        <v>18000</v>
      </c>
      <c r="K47" s="1">
        <v>18450</v>
      </c>
      <c r="L47" s="5">
        <f t="shared" ref="L47:L78" si="4">D47*(E47-F47)</f>
        <v>15809.999999999998</v>
      </c>
      <c r="M47" s="5">
        <f t="shared" ref="M47:M78" si="5">G47*(H47-I47)</f>
        <v>15416.451799999984</v>
      </c>
      <c r="N47" s="5">
        <f t="shared" ref="N47:N78" si="6">G47*(H47-E47)</f>
        <v>-176.3772000000148</v>
      </c>
      <c r="O47" s="5">
        <f t="shared" ref="O47:O78" si="7">-G47*(I47-F47)</f>
        <v>-2101.9709999999986</v>
      </c>
      <c r="P47" s="1"/>
    </row>
    <row r="48" spans="1:16" ht="13.4" customHeight="1">
      <c r="A48" s="1"/>
      <c r="B48" s="1"/>
      <c r="C48" s="1" t="s">
        <v>141</v>
      </c>
      <c r="D48" s="1">
        <v>2000</v>
      </c>
      <c r="E48" s="1">
        <v>95</v>
      </c>
      <c r="F48" s="1">
        <v>67.2</v>
      </c>
      <c r="G48" s="1">
        <v>2182</v>
      </c>
      <c r="H48" s="1">
        <v>91.740399999999994</v>
      </c>
      <c r="I48" s="1">
        <v>69.636800000000008</v>
      </c>
      <c r="J48" s="1">
        <v>18000</v>
      </c>
      <c r="K48" s="1">
        <v>18450</v>
      </c>
      <c r="L48" s="5">
        <f t="shared" si="4"/>
        <v>55599.999999999993</v>
      </c>
      <c r="M48" s="5">
        <f t="shared" si="5"/>
        <v>48230.055199999966</v>
      </c>
      <c r="N48" s="5">
        <f t="shared" si="6"/>
        <v>-7112.4472000000133</v>
      </c>
      <c r="O48" s="5">
        <f t="shared" si="7"/>
        <v>-5317.097600000011</v>
      </c>
      <c r="P48" s="1"/>
    </row>
    <row r="49" spans="1:16" ht="13.4" customHeight="1">
      <c r="A49" s="1"/>
      <c r="B49" s="1"/>
      <c r="C49" s="1" t="s">
        <v>142</v>
      </c>
      <c r="D49" s="1">
        <v>2350</v>
      </c>
      <c r="E49" s="1">
        <v>44</v>
      </c>
      <c r="F49" s="1">
        <v>27.1</v>
      </c>
      <c r="G49" s="1">
        <v>2475</v>
      </c>
      <c r="H49" s="1">
        <v>43.877600000000001</v>
      </c>
      <c r="I49" s="1">
        <v>27.037099999999999</v>
      </c>
      <c r="J49" s="1">
        <v>18000</v>
      </c>
      <c r="K49" s="1">
        <v>18450</v>
      </c>
      <c r="L49" s="5">
        <f t="shared" si="4"/>
        <v>39715</v>
      </c>
      <c r="M49" s="5">
        <f t="shared" si="5"/>
        <v>41680.237500000003</v>
      </c>
      <c r="N49" s="5">
        <f t="shared" si="6"/>
        <v>-302.93999999999744</v>
      </c>
      <c r="O49" s="5">
        <f t="shared" si="7"/>
        <v>155.67750000000649</v>
      </c>
      <c r="P49" s="1"/>
    </row>
    <row r="50" spans="1:16" ht="13.4" customHeight="1">
      <c r="A50" s="1"/>
      <c r="B50" s="1"/>
      <c r="C50" s="1" t="s">
        <v>143</v>
      </c>
      <c r="D50" s="1">
        <v>2700</v>
      </c>
      <c r="E50" s="1">
        <v>19</v>
      </c>
      <c r="F50" s="1">
        <v>12.8</v>
      </c>
      <c r="G50" s="1">
        <v>2820</v>
      </c>
      <c r="H50" s="1">
        <v>18.462199999999999</v>
      </c>
      <c r="I50" s="1">
        <v>12.952999999999999</v>
      </c>
      <c r="J50" s="1">
        <v>18000</v>
      </c>
      <c r="K50" s="1">
        <v>18450</v>
      </c>
      <c r="L50" s="5">
        <f t="shared" si="4"/>
        <v>16739.999999999996</v>
      </c>
      <c r="M50" s="5">
        <f t="shared" si="5"/>
        <v>15535.944</v>
      </c>
      <c r="N50" s="5">
        <f t="shared" si="6"/>
        <v>-1516.5960000000021</v>
      </c>
      <c r="O50" s="5">
        <f t="shared" si="7"/>
        <v>-431.45999999999628</v>
      </c>
      <c r="P50" s="1"/>
    </row>
    <row r="51" spans="1:16" ht="13.4" customHeight="1">
      <c r="A51" s="1"/>
      <c r="B51" s="1"/>
      <c r="C51" s="1" t="s">
        <v>144</v>
      </c>
      <c r="D51" s="1">
        <v>1700</v>
      </c>
      <c r="E51" s="1">
        <v>95</v>
      </c>
      <c r="F51" s="1">
        <v>67.2</v>
      </c>
      <c r="G51" s="1">
        <v>1709</v>
      </c>
      <c r="H51" s="1">
        <v>97.111800000000002</v>
      </c>
      <c r="I51" s="1">
        <v>70.522900000000007</v>
      </c>
      <c r="J51" s="1">
        <v>18000</v>
      </c>
      <c r="K51" s="1">
        <v>18540</v>
      </c>
      <c r="L51" s="5">
        <f t="shared" si="4"/>
        <v>47259.999999999993</v>
      </c>
      <c r="M51" s="5">
        <f t="shared" si="5"/>
        <v>45440.43009999999</v>
      </c>
      <c r="N51" s="5">
        <f t="shared" si="6"/>
        <v>3609.0662000000038</v>
      </c>
      <c r="O51" s="5">
        <f t="shared" si="7"/>
        <v>-5678.8361000000068</v>
      </c>
      <c r="P51" s="1"/>
    </row>
    <row r="52" spans="1:16" ht="13.4" customHeight="1">
      <c r="A52" s="1"/>
      <c r="B52" s="1"/>
      <c r="C52" s="1" t="s">
        <v>145</v>
      </c>
      <c r="D52" s="1">
        <v>2050</v>
      </c>
      <c r="E52" s="1">
        <v>44</v>
      </c>
      <c r="F52" s="1">
        <v>27.1</v>
      </c>
      <c r="G52" s="1">
        <v>1979</v>
      </c>
      <c r="H52" s="1">
        <v>43.781500000000008</v>
      </c>
      <c r="I52" s="1">
        <v>26.834</v>
      </c>
      <c r="J52" s="1">
        <v>18000</v>
      </c>
      <c r="K52" s="1">
        <v>18540</v>
      </c>
      <c r="L52" s="5">
        <f t="shared" si="4"/>
        <v>34645</v>
      </c>
      <c r="M52" s="5">
        <f t="shared" si="5"/>
        <v>33539.102500000015</v>
      </c>
      <c r="N52" s="5">
        <f t="shared" si="6"/>
        <v>-432.41149999998356</v>
      </c>
      <c r="O52" s="5">
        <f t="shared" si="7"/>
        <v>526.41400000000351</v>
      </c>
      <c r="P52" s="1"/>
    </row>
    <row r="53" spans="1:16" ht="13.4" customHeight="1">
      <c r="A53" s="1"/>
      <c r="B53" s="1"/>
      <c r="C53" s="1" t="s">
        <v>146</v>
      </c>
      <c r="D53" s="1">
        <v>2400</v>
      </c>
      <c r="E53" s="1">
        <v>19</v>
      </c>
      <c r="F53" s="1">
        <v>12.8</v>
      </c>
      <c r="G53" s="1">
        <v>2644</v>
      </c>
      <c r="H53" s="1">
        <v>19.327400000000001</v>
      </c>
      <c r="I53" s="1">
        <v>12.804700000000002</v>
      </c>
      <c r="J53" s="1">
        <v>18000</v>
      </c>
      <c r="K53" s="1">
        <v>18540</v>
      </c>
      <c r="L53" s="5">
        <f t="shared" si="4"/>
        <v>14879.999999999998</v>
      </c>
      <c r="M53" s="5">
        <f t="shared" si="5"/>
        <v>17246.018799999998</v>
      </c>
      <c r="N53" s="5">
        <f t="shared" si="6"/>
        <v>865.6456000000021</v>
      </c>
      <c r="O53" s="5">
        <f t="shared" si="7"/>
        <v>-12.426800000003915</v>
      </c>
      <c r="P53" s="1"/>
    </row>
    <row r="54" spans="1:16" ht="13.4" customHeight="1">
      <c r="A54" s="1"/>
      <c r="B54" s="1"/>
      <c r="C54" s="1" t="s">
        <v>147</v>
      </c>
      <c r="D54" s="1">
        <v>1850</v>
      </c>
      <c r="E54" s="1">
        <v>95</v>
      </c>
      <c r="F54" s="1">
        <v>67.2</v>
      </c>
      <c r="G54" s="1">
        <v>1932</v>
      </c>
      <c r="H54" s="1">
        <v>95.146100000000018</v>
      </c>
      <c r="I54" s="1">
        <v>66.393000000000001</v>
      </c>
      <c r="J54" s="1">
        <v>18000</v>
      </c>
      <c r="K54" s="1">
        <v>18540</v>
      </c>
      <c r="L54" s="5">
        <f t="shared" si="4"/>
        <v>51429.999999999993</v>
      </c>
      <c r="M54" s="5">
        <f t="shared" si="5"/>
        <v>55550.989200000033</v>
      </c>
      <c r="N54" s="5">
        <f t="shared" si="6"/>
        <v>282.26520000003541</v>
      </c>
      <c r="O54" s="5">
        <f t="shared" si="7"/>
        <v>1559.1240000000041</v>
      </c>
      <c r="P54" s="1"/>
    </row>
    <row r="55" spans="1:16" ht="13.4" customHeight="1">
      <c r="A55" s="1"/>
      <c r="B55" s="1"/>
      <c r="C55" s="1" t="s">
        <v>148</v>
      </c>
      <c r="D55" s="1">
        <v>2200</v>
      </c>
      <c r="E55" s="1">
        <v>44</v>
      </c>
      <c r="F55" s="1">
        <v>27.1</v>
      </c>
      <c r="G55" s="1">
        <v>2354</v>
      </c>
      <c r="H55" s="1">
        <v>43.884</v>
      </c>
      <c r="I55" s="1">
        <v>28.216099999999997</v>
      </c>
      <c r="J55" s="1">
        <v>18000</v>
      </c>
      <c r="K55" s="1">
        <v>18540</v>
      </c>
      <c r="L55" s="5">
        <f t="shared" si="4"/>
        <v>37180</v>
      </c>
      <c r="M55" s="5">
        <f t="shared" si="5"/>
        <v>36882.236600000004</v>
      </c>
      <c r="N55" s="5">
        <f t="shared" si="6"/>
        <v>-273.06399999999917</v>
      </c>
      <c r="O55" s="5">
        <f t="shared" si="7"/>
        <v>-2627.2993999999903</v>
      </c>
      <c r="P55" s="1"/>
    </row>
    <row r="56" spans="1:16" ht="13.4" customHeight="1">
      <c r="A56" s="1"/>
      <c r="B56" s="1"/>
      <c r="C56" s="1" t="s">
        <v>149</v>
      </c>
      <c r="D56" s="1">
        <v>2550</v>
      </c>
      <c r="E56" s="1">
        <v>19</v>
      </c>
      <c r="F56" s="1">
        <v>12.8</v>
      </c>
      <c r="G56" s="1">
        <v>2605</v>
      </c>
      <c r="H56" s="1">
        <v>18.335699999999999</v>
      </c>
      <c r="I56" s="1">
        <v>12.832700000000003</v>
      </c>
      <c r="J56" s="1">
        <v>18000</v>
      </c>
      <c r="K56" s="1">
        <v>18540</v>
      </c>
      <c r="L56" s="5">
        <f t="shared" si="4"/>
        <v>15809.999999999998</v>
      </c>
      <c r="M56" s="5">
        <f t="shared" si="5"/>
        <v>14335.314999999991</v>
      </c>
      <c r="N56" s="5">
        <f t="shared" si="6"/>
        <v>-1730.5015000000021</v>
      </c>
      <c r="O56" s="5">
        <f t="shared" si="7"/>
        <v>-85.183500000005083</v>
      </c>
      <c r="P56" s="1"/>
    </row>
    <row r="57" spans="1:16" ht="13.4" customHeight="1">
      <c r="A57" s="1"/>
      <c r="B57" s="1"/>
      <c r="C57" s="1" t="s">
        <v>150</v>
      </c>
      <c r="D57" s="1">
        <v>2000</v>
      </c>
      <c r="E57" s="1">
        <v>95</v>
      </c>
      <c r="F57" s="1">
        <v>67.2</v>
      </c>
      <c r="G57" s="1">
        <v>1828</v>
      </c>
      <c r="H57" s="1">
        <v>96.9709</v>
      </c>
      <c r="I57" s="1">
        <v>70.539299999999997</v>
      </c>
      <c r="J57" s="1">
        <v>18000</v>
      </c>
      <c r="K57" s="1">
        <v>18540</v>
      </c>
      <c r="L57" s="5">
        <f t="shared" si="4"/>
        <v>55599.999999999993</v>
      </c>
      <c r="M57" s="5">
        <f t="shared" si="5"/>
        <v>48316.964800000009</v>
      </c>
      <c r="N57" s="5">
        <f t="shared" si="6"/>
        <v>3602.8052000000007</v>
      </c>
      <c r="O57" s="5">
        <f t="shared" si="7"/>
        <v>-6104.2403999999897</v>
      </c>
      <c r="P57" s="1"/>
    </row>
    <row r="58" spans="1:16" ht="13.4" customHeight="1">
      <c r="A58" s="1"/>
      <c r="B58" s="1"/>
      <c r="C58" s="1" t="s">
        <v>151</v>
      </c>
      <c r="D58" s="1">
        <v>2350</v>
      </c>
      <c r="E58" s="1">
        <v>44</v>
      </c>
      <c r="F58" s="1">
        <v>27.1</v>
      </c>
      <c r="G58" s="1">
        <v>2549</v>
      </c>
      <c r="H58" s="1">
        <v>43.271799999999999</v>
      </c>
      <c r="I58" s="1">
        <v>26.555900000000001</v>
      </c>
      <c r="J58" s="1">
        <v>18000</v>
      </c>
      <c r="K58" s="1">
        <v>18540</v>
      </c>
      <c r="L58" s="5">
        <f t="shared" si="4"/>
        <v>39715</v>
      </c>
      <c r="M58" s="5">
        <f t="shared" si="5"/>
        <v>42608.829099999995</v>
      </c>
      <c r="N58" s="5">
        <f t="shared" si="6"/>
        <v>-1856.1818000000028</v>
      </c>
      <c r="O58" s="5">
        <f t="shared" si="7"/>
        <v>1386.9109000000005</v>
      </c>
      <c r="P58" s="1"/>
    </row>
    <row r="59" spans="1:16" ht="13.4" customHeight="1">
      <c r="A59" s="1"/>
      <c r="B59" s="1"/>
      <c r="C59" s="1" t="s">
        <v>152</v>
      </c>
      <c r="D59" s="1">
        <v>2700</v>
      </c>
      <c r="E59" s="1">
        <v>19</v>
      </c>
      <c r="F59" s="1">
        <v>12.8</v>
      </c>
      <c r="G59" s="1">
        <v>2955</v>
      </c>
      <c r="H59" s="1">
        <v>19.4145</v>
      </c>
      <c r="I59" s="1">
        <v>12.573199999999998</v>
      </c>
      <c r="J59" s="1">
        <v>18000</v>
      </c>
      <c r="K59" s="1">
        <v>18540</v>
      </c>
      <c r="L59" s="5">
        <f t="shared" si="4"/>
        <v>16739.999999999996</v>
      </c>
      <c r="M59" s="5">
        <f t="shared" si="5"/>
        <v>20216.041500000007</v>
      </c>
      <c r="N59" s="5">
        <f t="shared" si="6"/>
        <v>1224.847500000001</v>
      </c>
      <c r="O59" s="5">
        <f t="shared" si="7"/>
        <v>670.19400000000758</v>
      </c>
      <c r="P59" s="1"/>
    </row>
    <row r="60" spans="1:16" ht="13.4" customHeight="1">
      <c r="A60" s="1"/>
      <c r="B60" s="1"/>
      <c r="C60" s="1" t="s">
        <v>153</v>
      </c>
      <c r="D60" s="1">
        <v>1700</v>
      </c>
      <c r="E60" s="1">
        <v>95</v>
      </c>
      <c r="F60" s="1">
        <v>67.2</v>
      </c>
      <c r="G60" s="1">
        <v>1720</v>
      </c>
      <c r="H60" s="1">
        <v>92.069500000000005</v>
      </c>
      <c r="I60" s="1">
        <v>69.864599999999996</v>
      </c>
      <c r="J60" s="1">
        <v>18000</v>
      </c>
      <c r="K60" s="1">
        <v>18360</v>
      </c>
      <c r="L60" s="5">
        <f t="shared" si="4"/>
        <v>47259.999999999993</v>
      </c>
      <c r="M60" s="5">
        <f t="shared" si="5"/>
        <v>38192.428000000014</v>
      </c>
      <c r="N60" s="5">
        <f t="shared" si="6"/>
        <v>-5040.4599999999919</v>
      </c>
      <c r="O60" s="5">
        <f t="shared" si="7"/>
        <v>-4583.1119999999883</v>
      </c>
      <c r="P60" s="1"/>
    </row>
    <row r="61" spans="1:16" ht="13.4" customHeight="1">
      <c r="A61" s="1"/>
      <c r="B61" s="1"/>
      <c r="C61" s="1" t="s">
        <v>154</v>
      </c>
      <c r="D61" s="1">
        <v>2050</v>
      </c>
      <c r="E61" s="1">
        <v>44</v>
      </c>
      <c r="F61" s="1">
        <v>27.1</v>
      </c>
      <c r="G61" s="1">
        <v>2195</v>
      </c>
      <c r="H61" s="1">
        <v>42.799000000000007</v>
      </c>
      <c r="I61" s="1">
        <v>27.517299999999995</v>
      </c>
      <c r="J61" s="1">
        <v>18000</v>
      </c>
      <c r="K61" s="1">
        <v>18360</v>
      </c>
      <c r="L61" s="5">
        <f t="shared" si="4"/>
        <v>34645</v>
      </c>
      <c r="M61" s="5">
        <f t="shared" si="5"/>
        <v>33543.331500000022</v>
      </c>
      <c r="N61" s="5">
        <f t="shared" si="6"/>
        <v>-2636.1949999999856</v>
      </c>
      <c r="O61" s="5">
        <f t="shared" si="7"/>
        <v>-915.97349999998642</v>
      </c>
      <c r="P61" s="1"/>
    </row>
    <row r="62" spans="1:16" ht="13.4" customHeight="1">
      <c r="A62" s="1"/>
      <c r="B62" s="1"/>
      <c r="C62" s="1" t="s">
        <v>155</v>
      </c>
      <c r="D62" s="1">
        <v>2400</v>
      </c>
      <c r="E62" s="1">
        <v>19</v>
      </c>
      <c r="F62" s="1">
        <v>12.8</v>
      </c>
      <c r="G62" s="1">
        <v>2461</v>
      </c>
      <c r="H62" s="1">
        <v>18.6372</v>
      </c>
      <c r="I62" s="1">
        <v>13.4292</v>
      </c>
      <c r="J62" s="1">
        <v>18000</v>
      </c>
      <c r="K62" s="1">
        <v>18360</v>
      </c>
      <c r="L62" s="5">
        <f t="shared" si="4"/>
        <v>14879.999999999998</v>
      </c>
      <c r="M62" s="5">
        <f t="shared" si="5"/>
        <v>12816.888000000001</v>
      </c>
      <c r="N62" s="5">
        <f t="shared" si="6"/>
        <v>-892.85080000000005</v>
      </c>
      <c r="O62" s="5">
        <f t="shared" si="7"/>
        <v>-1548.4611999999977</v>
      </c>
      <c r="P62" s="1"/>
    </row>
    <row r="63" spans="1:16" ht="13.4" customHeight="1">
      <c r="A63" s="1"/>
      <c r="B63" s="1"/>
      <c r="C63" s="1" t="s">
        <v>156</v>
      </c>
      <c r="D63" s="1">
        <v>1850</v>
      </c>
      <c r="E63" s="1">
        <v>95</v>
      </c>
      <c r="F63" s="1">
        <v>67.2</v>
      </c>
      <c r="G63" s="1">
        <v>1848</v>
      </c>
      <c r="H63" s="1">
        <v>92.882199999999997</v>
      </c>
      <c r="I63" s="1">
        <v>68.600499999999997</v>
      </c>
      <c r="J63" s="1">
        <v>18000</v>
      </c>
      <c r="K63" s="1">
        <v>18360</v>
      </c>
      <c r="L63" s="5">
        <f t="shared" si="4"/>
        <v>51429.999999999993</v>
      </c>
      <c r="M63" s="5">
        <f t="shared" si="5"/>
        <v>44872.581600000005</v>
      </c>
      <c r="N63" s="5">
        <f t="shared" si="6"/>
        <v>-3913.6944000000049</v>
      </c>
      <c r="O63" s="5">
        <f t="shared" si="7"/>
        <v>-2588.1239999999889</v>
      </c>
      <c r="P63" s="1"/>
    </row>
    <row r="64" spans="1:16" ht="13.4" customHeight="1">
      <c r="A64" s="1"/>
      <c r="B64" s="1"/>
      <c r="C64" s="1" t="s">
        <v>157</v>
      </c>
      <c r="D64" s="1">
        <v>2200</v>
      </c>
      <c r="E64" s="1">
        <v>44</v>
      </c>
      <c r="F64" s="1">
        <v>27.1</v>
      </c>
      <c r="G64" s="1">
        <v>2339</v>
      </c>
      <c r="H64" s="1">
        <v>42.991000000000007</v>
      </c>
      <c r="I64" s="1">
        <v>27.140499999999999</v>
      </c>
      <c r="J64" s="1">
        <v>18000</v>
      </c>
      <c r="K64" s="1">
        <v>18360</v>
      </c>
      <c r="L64" s="5">
        <f t="shared" si="4"/>
        <v>37180</v>
      </c>
      <c r="M64" s="5">
        <f t="shared" si="5"/>
        <v>37074.31950000002</v>
      </c>
      <c r="N64" s="5">
        <f t="shared" si="6"/>
        <v>-2360.050999999984</v>
      </c>
      <c r="O64" s="5">
        <f t="shared" si="7"/>
        <v>-94.729499999995284</v>
      </c>
      <c r="P64" s="1"/>
    </row>
    <row r="65" spans="1:16" ht="13.4" customHeight="1">
      <c r="A65" s="1"/>
      <c r="B65" s="1"/>
      <c r="C65" s="1" t="s">
        <v>158</v>
      </c>
      <c r="D65" s="1">
        <v>2550</v>
      </c>
      <c r="E65" s="1">
        <v>19</v>
      </c>
      <c r="F65" s="1">
        <v>12.8</v>
      </c>
      <c r="G65" s="1">
        <v>2853</v>
      </c>
      <c r="H65" s="1">
        <v>19.075900000000001</v>
      </c>
      <c r="I65" s="1">
        <v>12.9567</v>
      </c>
      <c r="J65" s="1">
        <v>18000</v>
      </c>
      <c r="K65" s="1">
        <v>18360</v>
      </c>
      <c r="L65" s="5">
        <f t="shared" si="4"/>
        <v>15809.999999999998</v>
      </c>
      <c r="M65" s="5">
        <f t="shared" si="5"/>
        <v>17458.077600000004</v>
      </c>
      <c r="N65" s="5">
        <f t="shared" si="6"/>
        <v>216.54270000000213</v>
      </c>
      <c r="O65" s="5">
        <f t="shared" si="7"/>
        <v>-447.06509999999702</v>
      </c>
      <c r="P65" s="1"/>
    </row>
    <row r="66" spans="1:16" ht="13.4" customHeight="1">
      <c r="A66" s="1"/>
      <c r="B66" s="1"/>
      <c r="C66" s="1" t="s">
        <v>159</v>
      </c>
      <c r="D66" s="1">
        <v>2000</v>
      </c>
      <c r="E66" s="1">
        <v>95</v>
      </c>
      <c r="F66" s="1">
        <v>67.2</v>
      </c>
      <c r="G66" s="1">
        <v>2037</v>
      </c>
      <c r="H66" s="1">
        <v>92.364699999999999</v>
      </c>
      <c r="I66" s="1">
        <v>66.803500000000014</v>
      </c>
      <c r="J66" s="1">
        <v>18000</v>
      </c>
      <c r="K66" s="1">
        <v>18360</v>
      </c>
      <c r="L66" s="5">
        <f t="shared" si="4"/>
        <v>55599.999999999993</v>
      </c>
      <c r="M66" s="5">
        <f t="shared" si="5"/>
        <v>52068.164399999972</v>
      </c>
      <c r="N66" s="5">
        <f t="shared" si="6"/>
        <v>-5368.1061000000018</v>
      </c>
      <c r="O66" s="5">
        <f t="shared" si="7"/>
        <v>807.67049999997755</v>
      </c>
      <c r="P66" s="1"/>
    </row>
    <row r="67" spans="1:16" ht="13.4" customHeight="1">
      <c r="A67" s="1"/>
      <c r="B67" s="1"/>
      <c r="C67" s="1" t="s">
        <v>160</v>
      </c>
      <c r="D67" s="1">
        <v>2350</v>
      </c>
      <c r="E67" s="1">
        <v>44</v>
      </c>
      <c r="F67" s="1">
        <v>27.1</v>
      </c>
      <c r="G67" s="1">
        <v>2305</v>
      </c>
      <c r="H67" s="1">
        <v>44.013100000000001</v>
      </c>
      <c r="I67" s="1">
        <v>26.9526</v>
      </c>
      <c r="J67" s="1">
        <v>18000</v>
      </c>
      <c r="K67" s="1">
        <v>18360</v>
      </c>
      <c r="L67" s="5">
        <f t="shared" si="4"/>
        <v>39715</v>
      </c>
      <c r="M67" s="5">
        <f t="shared" si="5"/>
        <v>39324.452499999999</v>
      </c>
      <c r="N67" s="5">
        <f t="shared" si="6"/>
        <v>30.195500000003328</v>
      </c>
      <c r="O67" s="5">
        <f t="shared" si="7"/>
        <v>339.75700000000251</v>
      </c>
      <c r="P67" s="1"/>
    </row>
    <row r="68" spans="1:16" ht="13.4" customHeight="1">
      <c r="A68" s="1"/>
      <c r="B68" s="1"/>
      <c r="C68" s="1" t="s">
        <v>161</v>
      </c>
      <c r="D68" s="1">
        <v>2700</v>
      </c>
      <c r="E68" s="1">
        <v>19</v>
      </c>
      <c r="F68" s="1">
        <v>12.8</v>
      </c>
      <c r="G68" s="1">
        <v>2582</v>
      </c>
      <c r="H68" s="1">
        <v>18.415900000000001</v>
      </c>
      <c r="I68" s="1">
        <v>13.166600000000001</v>
      </c>
      <c r="J68" s="1">
        <v>18000</v>
      </c>
      <c r="K68" s="1">
        <v>18360</v>
      </c>
      <c r="L68" s="5">
        <f t="shared" si="4"/>
        <v>16739.999999999996</v>
      </c>
      <c r="M68" s="5">
        <f t="shared" si="5"/>
        <v>13553.6926</v>
      </c>
      <c r="N68" s="5">
        <f t="shared" si="6"/>
        <v>-1508.1461999999985</v>
      </c>
      <c r="O68" s="5">
        <f t="shared" si="7"/>
        <v>-946.5612000000001</v>
      </c>
      <c r="P68" s="1"/>
    </row>
    <row r="69" spans="1:16" ht="13.4" customHeight="1">
      <c r="A69" s="1"/>
      <c r="B69" s="1"/>
      <c r="C69" s="1" t="s">
        <v>162</v>
      </c>
      <c r="D69" s="1">
        <v>1700</v>
      </c>
      <c r="E69" s="1">
        <v>95</v>
      </c>
      <c r="F69" s="1">
        <v>67.2</v>
      </c>
      <c r="G69" s="1">
        <v>1629</v>
      </c>
      <c r="H69" s="1">
        <v>96.835899999999995</v>
      </c>
      <c r="I69" s="1">
        <v>70.430199999999999</v>
      </c>
      <c r="J69" s="1">
        <v>18000</v>
      </c>
      <c r="K69" s="1">
        <v>18450</v>
      </c>
      <c r="L69" s="5">
        <f t="shared" si="4"/>
        <v>47259.999999999993</v>
      </c>
      <c r="M69" s="5">
        <f t="shared" si="5"/>
        <v>43014.885299999994</v>
      </c>
      <c r="N69" s="5">
        <f t="shared" si="6"/>
        <v>2990.6810999999921</v>
      </c>
      <c r="O69" s="5">
        <f t="shared" si="7"/>
        <v>-5261.9957999999942</v>
      </c>
      <c r="P69" s="1"/>
    </row>
    <row r="70" spans="1:16" ht="13.4" customHeight="1">
      <c r="A70" s="1"/>
      <c r="B70" s="1"/>
      <c r="C70" s="1" t="s">
        <v>163</v>
      </c>
      <c r="D70" s="1">
        <v>2050</v>
      </c>
      <c r="E70" s="1">
        <v>44</v>
      </c>
      <c r="F70" s="1">
        <v>27.1</v>
      </c>
      <c r="G70" s="1">
        <v>1896</v>
      </c>
      <c r="H70" s="1">
        <v>43.088299999999997</v>
      </c>
      <c r="I70" s="1">
        <v>27.963499999999996</v>
      </c>
      <c r="J70" s="1">
        <v>18000</v>
      </c>
      <c r="K70" s="1">
        <v>18450</v>
      </c>
      <c r="L70" s="5">
        <f t="shared" si="4"/>
        <v>34645</v>
      </c>
      <c r="M70" s="5">
        <f t="shared" si="5"/>
        <v>28676.620800000001</v>
      </c>
      <c r="N70" s="5">
        <f t="shared" si="6"/>
        <v>-1728.5832000000062</v>
      </c>
      <c r="O70" s="5">
        <f t="shared" si="7"/>
        <v>-1637.1959999999901</v>
      </c>
      <c r="P70" s="1"/>
    </row>
    <row r="71" spans="1:16" ht="13.4" customHeight="1">
      <c r="A71" s="1"/>
      <c r="B71" s="1"/>
      <c r="C71" s="1" t="s">
        <v>164</v>
      </c>
      <c r="D71" s="1">
        <v>2400</v>
      </c>
      <c r="E71" s="1">
        <v>19</v>
      </c>
      <c r="F71" s="1">
        <v>12.8</v>
      </c>
      <c r="G71" s="1">
        <v>2292</v>
      </c>
      <c r="H71" s="1">
        <v>18.485800000000005</v>
      </c>
      <c r="I71" s="1">
        <v>13.4978</v>
      </c>
      <c r="J71" s="1">
        <v>18000</v>
      </c>
      <c r="K71" s="1">
        <v>18450</v>
      </c>
      <c r="L71" s="5">
        <f t="shared" si="4"/>
        <v>14879.999999999998</v>
      </c>
      <c r="M71" s="5">
        <f t="shared" si="5"/>
        <v>11432.496000000012</v>
      </c>
      <c r="N71" s="5">
        <f t="shared" si="6"/>
        <v>-1178.5463999999893</v>
      </c>
      <c r="O71" s="5">
        <f t="shared" si="7"/>
        <v>-1599.357599999998</v>
      </c>
      <c r="P71" s="1"/>
    </row>
    <row r="72" spans="1:16" ht="13.4" customHeight="1">
      <c r="A72" s="1"/>
      <c r="B72" s="1"/>
      <c r="C72" s="1" t="s">
        <v>165</v>
      </c>
      <c r="D72" s="1">
        <v>1850</v>
      </c>
      <c r="E72" s="1">
        <v>95</v>
      </c>
      <c r="F72" s="1">
        <v>67.2</v>
      </c>
      <c r="G72" s="1">
        <v>1905</v>
      </c>
      <c r="H72" s="1">
        <v>94.369200000000006</v>
      </c>
      <c r="I72" s="1">
        <v>70.0017</v>
      </c>
      <c r="J72" s="1">
        <v>18000</v>
      </c>
      <c r="K72" s="1">
        <v>18450</v>
      </c>
      <c r="L72" s="5">
        <f t="shared" si="4"/>
        <v>51429.999999999993</v>
      </c>
      <c r="M72" s="5">
        <f t="shared" si="5"/>
        <v>46420.087500000016</v>
      </c>
      <c r="N72" s="5">
        <f t="shared" si="6"/>
        <v>-1201.6739999999877</v>
      </c>
      <c r="O72" s="5">
        <f t="shared" si="7"/>
        <v>-5337.238499999994</v>
      </c>
      <c r="P72" s="1"/>
    </row>
    <row r="73" spans="1:16" ht="13.4" customHeight="1">
      <c r="A73" s="1"/>
      <c r="B73" s="1"/>
      <c r="C73" s="1" t="s">
        <v>166</v>
      </c>
      <c r="D73" s="1">
        <v>2200</v>
      </c>
      <c r="E73" s="1">
        <v>44</v>
      </c>
      <c r="F73" s="1">
        <v>27.1</v>
      </c>
      <c r="G73" s="1">
        <v>2375</v>
      </c>
      <c r="H73" s="1">
        <v>42.962699999999998</v>
      </c>
      <c r="I73" s="1">
        <v>26.645800000000005</v>
      </c>
      <c r="J73" s="1">
        <v>18000</v>
      </c>
      <c r="K73" s="1">
        <v>18450</v>
      </c>
      <c r="L73" s="5">
        <f t="shared" si="4"/>
        <v>37180</v>
      </c>
      <c r="M73" s="5">
        <f t="shared" si="5"/>
        <v>38752.637499999983</v>
      </c>
      <c r="N73" s="5">
        <f t="shared" si="6"/>
        <v>-2463.5875000000046</v>
      </c>
      <c r="O73" s="5">
        <f t="shared" si="7"/>
        <v>1078.724999999992</v>
      </c>
      <c r="P73" s="1"/>
    </row>
    <row r="74" spans="1:16" ht="13.4" customHeight="1">
      <c r="A74" s="1"/>
      <c r="B74" s="1"/>
      <c r="C74" s="1" t="s">
        <v>167</v>
      </c>
      <c r="D74" s="1">
        <v>2550</v>
      </c>
      <c r="E74" s="1">
        <v>19</v>
      </c>
      <c r="F74" s="1">
        <v>12.8</v>
      </c>
      <c r="G74" s="1">
        <v>2551</v>
      </c>
      <c r="H74" s="1">
        <v>18.817900000000002</v>
      </c>
      <c r="I74" s="1">
        <v>12.988100000000001</v>
      </c>
      <c r="J74" s="1">
        <v>18000</v>
      </c>
      <c r="K74" s="1">
        <v>18450</v>
      </c>
      <c r="L74" s="5">
        <f t="shared" si="4"/>
        <v>15809.999999999998</v>
      </c>
      <c r="M74" s="5">
        <f t="shared" si="5"/>
        <v>14871.819800000001</v>
      </c>
      <c r="N74" s="5">
        <f t="shared" si="6"/>
        <v>-464.53709999999586</v>
      </c>
      <c r="O74" s="5">
        <f t="shared" si="7"/>
        <v>-479.84310000000096</v>
      </c>
      <c r="P74" s="1"/>
    </row>
    <row r="75" spans="1:16" ht="13.4" customHeight="1">
      <c r="A75" s="1"/>
      <c r="B75" s="1"/>
      <c r="C75" s="1" t="s">
        <v>168</v>
      </c>
      <c r="D75" s="1">
        <v>2000</v>
      </c>
      <c r="E75" s="1">
        <v>95</v>
      </c>
      <c r="F75" s="1">
        <v>67.2</v>
      </c>
      <c r="G75" s="1">
        <v>2126</v>
      </c>
      <c r="H75" s="1">
        <v>95.513199999999998</v>
      </c>
      <c r="I75" s="1">
        <v>71.141599999999997</v>
      </c>
      <c r="J75" s="1">
        <v>18000</v>
      </c>
      <c r="K75" s="1">
        <v>18450</v>
      </c>
      <c r="L75" s="5">
        <f t="shared" si="4"/>
        <v>55599.999999999993</v>
      </c>
      <c r="M75" s="5">
        <f t="shared" si="5"/>
        <v>51814.0216</v>
      </c>
      <c r="N75" s="5">
        <f t="shared" si="6"/>
        <v>1091.063199999995</v>
      </c>
      <c r="O75" s="5">
        <f t="shared" si="7"/>
        <v>-8379.841599999987</v>
      </c>
      <c r="P75" s="1"/>
    </row>
    <row r="76" spans="1:16" ht="13.4" customHeight="1">
      <c r="A76" s="1"/>
      <c r="B76" s="1"/>
      <c r="C76" s="1" t="s">
        <v>169</v>
      </c>
      <c r="D76" s="1">
        <v>2350</v>
      </c>
      <c r="E76" s="1">
        <v>44</v>
      </c>
      <c r="F76" s="1">
        <v>27.1</v>
      </c>
      <c r="G76" s="1">
        <v>2187</v>
      </c>
      <c r="H76" s="1">
        <v>43.522900000000007</v>
      </c>
      <c r="I76" s="1">
        <v>27.2041</v>
      </c>
      <c r="J76" s="1">
        <v>18000</v>
      </c>
      <c r="K76" s="1">
        <v>18450</v>
      </c>
      <c r="L76" s="5">
        <f t="shared" si="4"/>
        <v>39715</v>
      </c>
      <c r="M76" s="5">
        <f t="shared" si="5"/>
        <v>35689.215600000018</v>
      </c>
      <c r="N76" s="5">
        <f t="shared" si="6"/>
        <v>-1043.4176999999847</v>
      </c>
      <c r="O76" s="5">
        <f t="shared" si="7"/>
        <v>-227.66669999999775</v>
      </c>
      <c r="P76" s="1"/>
    </row>
    <row r="77" spans="1:16" ht="13.4" customHeight="1">
      <c r="A77" s="1"/>
      <c r="B77" s="1"/>
      <c r="C77" s="1" t="s">
        <v>170</v>
      </c>
      <c r="D77" s="1">
        <v>2700</v>
      </c>
      <c r="E77" s="1">
        <v>19</v>
      </c>
      <c r="F77" s="1">
        <v>12.8</v>
      </c>
      <c r="G77" s="1">
        <v>2946</v>
      </c>
      <c r="H77" s="1">
        <v>18.618500000000001</v>
      </c>
      <c r="I77" s="1">
        <v>12.6869</v>
      </c>
      <c r="J77" s="1">
        <v>18000</v>
      </c>
      <c r="K77" s="1">
        <v>18450</v>
      </c>
      <c r="L77" s="5">
        <f t="shared" si="4"/>
        <v>16739.999999999996</v>
      </c>
      <c r="M77" s="5">
        <f t="shared" si="5"/>
        <v>17474.493600000005</v>
      </c>
      <c r="N77" s="5">
        <f t="shared" si="6"/>
        <v>-1123.8989999999972</v>
      </c>
      <c r="O77" s="5">
        <f t="shared" si="7"/>
        <v>333.19260000000321</v>
      </c>
      <c r="P77" s="1"/>
    </row>
    <row r="78" spans="1:16" ht="13.4" customHeight="1">
      <c r="A78" s="1"/>
      <c r="B78" s="1"/>
      <c r="C78" s="1" t="s">
        <v>171</v>
      </c>
      <c r="D78" s="1">
        <v>1700</v>
      </c>
      <c r="E78" s="1">
        <v>95</v>
      </c>
      <c r="F78" s="1">
        <v>67.2</v>
      </c>
      <c r="G78" s="1">
        <v>1707</v>
      </c>
      <c r="H78" s="1">
        <v>94.079700000000003</v>
      </c>
      <c r="I78" s="1">
        <v>67.111000000000004</v>
      </c>
      <c r="J78" s="1">
        <v>18000</v>
      </c>
      <c r="K78" s="1">
        <v>18540</v>
      </c>
      <c r="L78" s="5">
        <f t="shared" si="4"/>
        <v>47259.999999999993</v>
      </c>
      <c r="M78" s="5">
        <f t="shared" si="5"/>
        <v>46035.570899999999</v>
      </c>
      <c r="N78" s="5">
        <f t="shared" si="6"/>
        <v>-1570.9520999999957</v>
      </c>
      <c r="O78" s="5">
        <f t="shared" si="7"/>
        <v>151.92299999999767</v>
      </c>
      <c r="P78" s="1"/>
    </row>
    <row r="79" spans="1:16" ht="13.4" customHeight="1">
      <c r="A79" s="1"/>
      <c r="B79" s="1"/>
      <c r="C79" s="1" t="s">
        <v>172</v>
      </c>
      <c r="D79" s="1">
        <v>2050</v>
      </c>
      <c r="E79" s="1">
        <v>44</v>
      </c>
      <c r="F79" s="1">
        <v>27.1</v>
      </c>
      <c r="G79" s="1">
        <v>1973</v>
      </c>
      <c r="H79" s="1">
        <v>44.897399999999998</v>
      </c>
      <c r="I79" s="1">
        <v>27.443300000000001</v>
      </c>
      <c r="J79" s="1">
        <v>18000</v>
      </c>
      <c r="K79" s="1">
        <v>18540</v>
      </c>
      <c r="L79" s="5">
        <f t="shared" ref="L79:L110" si="8">D79*(E79-F79)</f>
        <v>34645</v>
      </c>
      <c r="M79" s="5">
        <f t="shared" ref="M79:M110" si="9">G79*(H79-I79)</f>
        <v>34436.939299999991</v>
      </c>
      <c r="N79" s="5">
        <f t="shared" ref="N79:N110" si="10">G79*(H79-E79)</f>
        <v>1770.5701999999951</v>
      </c>
      <c r="O79" s="5">
        <f t="shared" ref="O79:O110" si="11">-G79*(I79-F79)</f>
        <v>-677.33089999999856</v>
      </c>
      <c r="P79" s="1"/>
    </row>
    <row r="80" spans="1:16" ht="13.4" customHeight="1">
      <c r="A80" s="1"/>
      <c r="B80" s="1"/>
      <c r="C80" s="1" t="s">
        <v>173</v>
      </c>
      <c r="D80" s="1">
        <v>2400</v>
      </c>
      <c r="E80" s="1">
        <v>19</v>
      </c>
      <c r="F80" s="1">
        <v>12.8</v>
      </c>
      <c r="G80" s="1">
        <v>2618</v>
      </c>
      <c r="H80" s="1">
        <v>18.962399999999999</v>
      </c>
      <c r="I80" s="1">
        <v>12.534999999999998</v>
      </c>
      <c r="J80" s="1">
        <v>18000</v>
      </c>
      <c r="K80" s="1">
        <v>18540</v>
      </c>
      <c r="L80" s="5">
        <f t="shared" si="8"/>
        <v>14879.999999999998</v>
      </c>
      <c r="M80" s="5">
        <f t="shared" si="9"/>
        <v>16826.933199999999</v>
      </c>
      <c r="N80" s="5">
        <f t="shared" si="10"/>
        <v>-98.436800000003103</v>
      </c>
      <c r="O80" s="5">
        <f t="shared" si="11"/>
        <v>693.77000000000612</v>
      </c>
      <c r="P80" s="1"/>
    </row>
    <row r="81" spans="1:16" ht="13.4" customHeight="1">
      <c r="A81" s="1"/>
      <c r="B81" s="1"/>
      <c r="C81" s="1" t="s">
        <v>174</v>
      </c>
      <c r="D81" s="1">
        <v>1850</v>
      </c>
      <c r="E81" s="1">
        <v>95</v>
      </c>
      <c r="F81" s="1">
        <v>67.2</v>
      </c>
      <c r="G81" s="1">
        <v>2072</v>
      </c>
      <c r="H81" s="1">
        <v>96.440399999999997</v>
      </c>
      <c r="I81" s="1">
        <v>71.054900000000004</v>
      </c>
      <c r="J81" s="1">
        <v>18000</v>
      </c>
      <c r="K81" s="1">
        <v>18540</v>
      </c>
      <c r="L81" s="5">
        <f t="shared" si="8"/>
        <v>51429.999999999993</v>
      </c>
      <c r="M81" s="5">
        <f t="shared" si="9"/>
        <v>52598.755999999987</v>
      </c>
      <c r="N81" s="5">
        <f t="shared" si="10"/>
        <v>2984.5087999999932</v>
      </c>
      <c r="O81" s="5">
        <f t="shared" si="11"/>
        <v>-7987.3528000000015</v>
      </c>
      <c r="P81" s="1"/>
    </row>
    <row r="82" spans="1:16" ht="13.4" customHeight="1">
      <c r="A82" s="1"/>
      <c r="B82" s="1"/>
      <c r="C82" s="1" t="s">
        <v>175</v>
      </c>
      <c r="D82" s="1">
        <v>2200</v>
      </c>
      <c r="E82" s="1">
        <v>44</v>
      </c>
      <c r="F82" s="1">
        <v>27.1</v>
      </c>
      <c r="G82" s="1">
        <v>2430</v>
      </c>
      <c r="H82" s="1">
        <v>44.700600000000009</v>
      </c>
      <c r="I82" s="1">
        <v>26.805599999999998</v>
      </c>
      <c r="J82" s="1">
        <v>18000</v>
      </c>
      <c r="K82" s="1">
        <v>18540</v>
      </c>
      <c r="L82" s="5">
        <f t="shared" si="8"/>
        <v>37180</v>
      </c>
      <c r="M82" s="5">
        <f t="shared" si="9"/>
        <v>43484.850000000028</v>
      </c>
      <c r="N82" s="5">
        <f t="shared" si="10"/>
        <v>1702.4580000000208</v>
      </c>
      <c r="O82" s="5">
        <f t="shared" si="11"/>
        <v>715.39200000000756</v>
      </c>
      <c r="P82" s="1"/>
    </row>
    <row r="83" spans="1:16" ht="13.4" customHeight="1">
      <c r="A83" s="1"/>
      <c r="B83" s="1"/>
      <c r="C83" s="1" t="s">
        <v>176</v>
      </c>
      <c r="D83" s="1">
        <v>2550</v>
      </c>
      <c r="E83" s="1">
        <v>19</v>
      </c>
      <c r="F83" s="1">
        <v>12.8</v>
      </c>
      <c r="G83" s="1">
        <v>2581</v>
      </c>
      <c r="H83" s="1">
        <v>18.578700000000001</v>
      </c>
      <c r="I83" s="1">
        <v>12.9163</v>
      </c>
      <c r="J83" s="1">
        <v>18000</v>
      </c>
      <c r="K83" s="1">
        <v>18540</v>
      </c>
      <c r="L83" s="5">
        <f t="shared" si="8"/>
        <v>15809.999999999998</v>
      </c>
      <c r="M83" s="5">
        <f t="shared" si="9"/>
        <v>14614.654400000005</v>
      </c>
      <c r="N83" s="5">
        <f t="shared" si="10"/>
        <v>-1087.3752999999965</v>
      </c>
      <c r="O83" s="5">
        <f t="shared" si="11"/>
        <v>-300.17029999999733</v>
      </c>
      <c r="P83" s="1"/>
    </row>
    <row r="84" spans="1:16" ht="13.4" customHeight="1">
      <c r="A84" s="1"/>
      <c r="B84" s="1"/>
      <c r="C84" s="1" t="s">
        <v>177</v>
      </c>
      <c r="D84" s="1">
        <v>2000</v>
      </c>
      <c r="E84" s="1">
        <v>95</v>
      </c>
      <c r="F84" s="1">
        <v>67.2</v>
      </c>
      <c r="G84" s="1">
        <v>1845</v>
      </c>
      <c r="H84" s="1">
        <v>93.835100000000011</v>
      </c>
      <c r="I84" s="1">
        <v>71.148099999999999</v>
      </c>
      <c r="J84" s="1">
        <v>18000</v>
      </c>
      <c r="K84" s="1">
        <v>18540</v>
      </c>
      <c r="L84" s="5">
        <f t="shared" si="8"/>
        <v>55599.999999999993</v>
      </c>
      <c r="M84" s="5">
        <f t="shared" si="9"/>
        <v>41857.515000000021</v>
      </c>
      <c r="N84" s="5">
        <f t="shared" si="10"/>
        <v>-2149.240499999979</v>
      </c>
      <c r="O84" s="5">
        <f t="shared" si="11"/>
        <v>-7284.2444999999934</v>
      </c>
      <c r="P84" s="1"/>
    </row>
    <row r="85" spans="1:16" ht="13.4" customHeight="1">
      <c r="A85" s="1"/>
      <c r="B85" s="1"/>
      <c r="C85" s="1" t="s">
        <v>178</v>
      </c>
      <c r="D85" s="1">
        <v>2350</v>
      </c>
      <c r="E85" s="1">
        <v>44</v>
      </c>
      <c r="F85" s="1">
        <v>27.1</v>
      </c>
      <c r="G85" s="1">
        <v>2269</v>
      </c>
      <c r="H85" s="1">
        <v>44.529899999999991</v>
      </c>
      <c r="I85" s="1">
        <v>27.470600000000001</v>
      </c>
      <c r="J85" s="1">
        <v>18000</v>
      </c>
      <c r="K85" s="1">
        <v>18540</v>
      </c>
      <c r="L85" s="5">
        <f t="shared" si="8"/>
        <v>39715</v>
      </c>
      <c r="M85" s="5">
        <f t="shared" si="9"/>
        <v>38707.551699999975</v>
      </c>
      <c r="N85" s="5">
        <f t="shared" si="10"/>
        <v>1202.3430999999789</v>
      </c>
      <c r="O85" s="5">
        <f t="shared" si="11"/>
        <v>-840.89139999999907</v>
      </c>
      <c r="P85" s="1"/>
    </row>
    <row r="86" spans="1:16" ht="13.4" customHeight="1">
      <c r="A86" s="1"/>
      <c r="B86" s="1"/>
      <c r="C86" s="1" t="s">
        <v>179</v>
      </c>
      <c r="D86" s="1">
        <v>2700</v>
      </c>
      <c r="E86" s="1">
        <v>19</v>
      </c>
      <c r="F86" s="1">
        <v>12.8</v>
      </c>
      <c r="G86" s="1">
        <v>2697</v>
      </c>
      <c r="H86" s="1">
        <v>19.426300000000001</v>
      </c>
      <c r="I86" s="1">
        <v>13.563000000000001</v>
      </c>
      <c r="J86" s="1">
        <v>18000</v>
      </c>
      <c r="K86" s="1">
        <v>18540</v>
      </c>
      <c r="L86" s="5">
        <f t="shared" si="8"/>
        <v>16739.999999999996</v>
      </c>
      <c r="M86" s="5">
        <f t="shared" si="9"/>
        <v>15813.320100000001</v>
      </c>
      <c r="N86" s="5">
        <f t="shared" si="10"/>
        <v>1149.7311000000034</v>
      </c>
      <c r="O86" s="5">
        <f t="shared" si="11"/>
        <v>-2057.8109999999997</v>
      </c>
      <c r="P86" s="1"/>
    </row>
    <row r="87" spans="1:16" ht="13.4" customHeight="1">
      <c r="A87" s="1"/>
      <c r="B87" s="1"/>
      <c r="C87" s="1" t="s">
        <v>180</v>
      </c>
      <c r="D87" s="1">
        <v>1700</v>
      </c>
      <c r="E87" s="1">
        <v>95</v>
      </c>
      <c r="F87" s="1">
        <v>67.2</v>
      </c>
      <c r="G87" s="1">
        <v>1745</v>
      </c>
      <c r="H87" s="1">
        <v>95.769900000000021</v>
      </c>
      <c r="I87" s="1">
        <v>66.404200000000003</v>
      </c>
      <c r="J87" s="1">
        <v>18000</v>
      </c>
      <c r="K87" s="1">
        <v>18360</v>
      </c>
      <c r="L87" s="5">
        <f t="shared" si="8"/>
        <v>47259.999999999993</v>
      </c>
      <c r="M87" s="5">
        <f t="shared" si="9"/>
        <v>51243.146500000032</v>
      </c>
      <c r="N87" s="5">
        <f t="shared" si="10"/>
        <v>1343.4755000000368</v>
      </c>
      <c r="O87" s="5">
        <f t="shared" si="11"/>
        <v>1388.6709999999998</v>
      </c>
      <c r="P87" s="1"/>
    </row>
    <row r="88" spans="1:16" ht="13.4" customHeight="1">
      <c r="A88" s="1"/>
      <c r="B88" s="1"/>
      <c r="C88" s="1" t="s">
        <v>181</v>
      </c>
      <c r="D88" s="1">
        <v>2050</v>
      </c>
      <c r="E88" s="1">
        <v>44</v>
      </c>
      <c r="F88" s="1">
        <v>27.1</v>
      </c>
      <c r="G88" s="1">
        <v>1993</v>
      </c>
      <c r="H88" s="1">
        <v>45.017399999999995</v>
      </c>
      <c r="I88" s="1">
        <v>27.756599999999995</v>
      </c>
      <c r="J88" s="1">
        <v>18000</v>
      </c>
      <c r="K88" s="1">
        <v>18360</v>
      </c>
      <c r="L88" s="5">
        <f t="shared" si="8"/>
        <v>34645</v>
      </c>
      <c r="M88" s="5">
        <f t="shared" si="9"/>
        <v>34400.774400000002</v>
      </c>
      <c r="N88" s="5">
        <f t="shared" si="10"/>
        <v>2027.6781999999901</v>
      </c>
      <c r="O88" s="5">
        <f t="shared" si="11"/>
        <v>-1308.6037999999878</v>
      </c>
      <c r="P88" s="1"/>
    </row>
    <row r="89" spans="1:16" ht="13.4" customHeight="1">
      <c r="A89" s="1"/>
      <c r="B89" s="1"/>
      <c r="C89" s="1" t="s">
        <v>182</v>
      </c>
      <c r="D89" s="1">
        <v>2400</v>
      </c>
      <c r="E89" s="1">
        <v>19</v>
      </c>
      <c r="F89" s="1">
        <v>12.8</v>
      </c>
      <c r="G89" s="1">
        <v>2457</v>
      </c>
      <c r="H89" s="1">
        <v>19.187699999999996</v>
      </c>
      <c r="I89" s="1">
        <v>12.542199999999999</v>
      </c>
      <c r="J89" s="1">
        <v>18000</v>
      </c>
      <c r="K89" s="1">
        <v>18360</v>
      </c>
      <c r="L89" s="5">
        <f t="shared" si="8"/>
        <v>14879.999999999998</v>
      </c>
      <c r="M89" s="5">
        <f t="shared" si="9"/>
        <v>16327.993499999991</v>
      </c>
      <c r="N89" s="5">
        <f t="shared" si="10"/>
        <v>461.17889999999011</v>
      </c>
      <c r="O89" s="5">
        <f t="shared" si="11"/>
        <v>633.41460000000336</v>
      </c>
      <c r="P89" s="1"/>
    </row>
    <row r="90" spans="1:16" ht="13.4" customHeight="1">
      <c r="A90" s="1"/>
      <c r="B90" s="1"/>
      <c r="C90" s="1" t="s">
        <v>183</v>
      </c>
      <c r="D90" s="1">
        <v>1850</v>
      </c>
      <c r="E90" s="1">
        <v>95</v>
      </c>
      <c r="F90" s="1">
        <v>67.2</v>
      </c>
      <c r="G90" s="1">
        <v>1910</v>
      </c>
      <c r="H90" s="1">
        <v>94.541200000000003</v>
      </c>
      <c r="I90" s="1">
        <v>70.390699999999995</v>
      </c>
      <c r="J90" s="1">
        <v>18000</v>
      </c>
      <c r="K90" s="1">
        <v>18360</v>
      </c>
      <c r="L90" s="5">
        <f t="shared" si="8"/>
        <v>51429.999999999993</v>
      </c>
      <c r="M90" s="5">
        <f t="shared" si="9"/>
        <v>46127.455000000016</v>
      </c>
      <c r="N90" s="5">
        <f t="shared" si="10"/>
        <v>-876.3079999999934</v>
      </c>
      <c r="O90" s="5">
        <f t="shared" si="11"/>
        <v>-6094.2369999999855</v>
      </c>
      <c r="P90" s="1"/>
    </row>
    <row r="91" spans="1:16" ht="13.4" customHeight="1">
      <c r="A91" s="1"/>
      <c r="B91" s="1"/>
      <c r="C91" s="1" t="s">
        <v>184</v>
      </c>
      <c r="D91" s="1">
        <v>2200</v>
      </c>
      <c r="E91" s="1">
        <v>44</v>
      </c>
      <c r="F91" s="1">
        <v>27.1</v>
      </c>
      <c r="G91" s="1">
        <v>2075</v>
      </c>
      <c r="H91" s="1">
        <v>44.996499999999997</v>
      </c>
      <c r="I91" s="1">
        <v>26.606999999999996</v>
      </c>
      <c r="J91" s="1">
        <v>18000</v>
      </c>
      <c r="K91" s="1">
        <v>18360</v>
      </c>
      <c r="L91" s="5">
        <f t="shared" si="8"/>
        <v>37180</v>
      </c>
      <c r="M91" s="5">
        <f t="shared" si="9"/>
        <v>38158.212500000001</v>
      </c>
      <c r="N91" s="5">
        <f t="shared" si="10"/>
        <v>2067.7374999999947</v>
      </c>
      <c r="O91" s="5">
        <f t="shared" si="11"/>
        <v>1022.9750000000117</v>
      </c>
      <c r="P91" s="1"/>
    </row>
    <row r="92" spans="1:16" ht="13.4" customHeight="1">
      <c r="A92" s="1"/>
      <c r="B92" s="1"/>
      <c r="C92" s="1" t="s">
        <v>185</v>
      </c>
      <c r="D92" s="1">
        <v>2550</v>
      </c>
      <c r="E92" s="1">
        <v>19</v>
      </c>
      <c r="F92" s="1">
        <v>12.8</v>
      </c>
      <c r="G92" s="1">
        <v>2420</v>
      </c>
      <c r="H92" s="1">
        <v>19.013300000000001</v>
      </c>
      <c r="I92" s="1">
        <v>13.214600000000001</v>
      </c>
      <c r="J92" s="1">
        <v>18000</v>
      </c>
      <c r="K92" s="1">
        <v>18360</v>
      </c>
      <c r="L92" s="5">
        <f t="shared" si="8"/>
        <v>15809.999999999998</v>
      </c>
      <c r="M92" s="5">
        <f t="shared" si="9"/>
        <v>14032.854000000001</v>
      </c>
      <c r="N92" s="5">
        <f t="shared" si="10"/>
        <v>32.186000000002366</v>
      </c>
      <c r="O92" s="5">
        <f t="shared" si="11"/>
        <v>-1003.3320000000002</v>
      </c>
      <c r="P92" s="1"/>
    </row>
    <row r="93" spans="1:16" ht="13.4" customHeight="1">
      <c r="A93" s="1"/>
      <c r="B93" s="1"/>
      <c r="C93" s="1" t="s">
        <v>186</v>
      </c>
      <c r="D93" s="1">
        <v>2000</v>
      </c>
      <c r="E93" s="1">
        <v>95</v>
      </c>
      <c r="F93" s="1">
        <v>67.2</v>
      </c>
      <c r="G93" s="1">
        <v>1919</v>
      </c>
      <c r="H93" s="1">
        <v>92.358400000000003</v>
      </c>
      <c r="I93" s="1">
        <v>70.6053</v>
      </c>
      <c r="J93" s="1">
        <v>18000</v>
      </c>
      <c r="K93" s="1">
        <v>18360</v>
      </c>
      <c r="L93" s="5">
        <f t="shared" si="8"/>
        <v>55599.999999999993</v>
      </c>
      <c r="M93" s="5">
        <f t="shared" si="9"/>
        <v>41744.198900000003</v>
      </c>
      <c r="N93" s="5">
        <f t="shared" si="10"/>
        <v>-5069.230399999994</v>
      </c>
      <c r="O93" s="5">
        <f t="shared" si="11"/>
        <v>-6534.7706999999937</v>
      </c>
      <c r="P93" s="1"/>
    </row>
    <row r="94" spans="1:16" ht="13.4" customHeight="1">
      <c r="A94" s="1"/>
      <c r="B94" s="1"/>
      <c r="C94" s="1" t="s">
        <v>187</v>
      </c>
      <c r="D94" s="1">
        <v>2350</v>
      </c>
      <c r="E94" s="1">
        <v>44</v>
      </c>
      <c r="F94" s="1">
        <v>27.1</v>
      </c>
      <c r="G94" s="1">
        <v>2260</v>
      </c>
      <c r="H94" s="1">
        <v>44.029499999999999</v>
      </c>
      <c r="I94" s="1">
        <v>27.8492</v>
      </c>
      <c r="J94" s="1">
        <v>18000</v>
      </c>
      <c r="K94" s="1">
        <v>18360</v>
      </c>
      <c r="L94" s="5">
        <f t="shared" si="8"/>
        <v>39715</v>
      </c>
      <c r="M94" s="5">
        <f t="shared" si="9"/>
        <v>36567.477999999996</v>
      </c>
      <c r="N94" s="5">
        <f t="shared" si="10"/>
        <v>66.669999999997174</v>
      </c>
      <c r="O94" s="5">
        <f t="shared" si="11"/>
        <v>-1693.1919999999961</v>
      </c>
      <c r="P94" s="1"/>
    </row>
    <row r="95" spans="1:16" ht="13.4" customHeight="1">
      <c r="A95" s="1"/>
      <c r="B95" s="1"/>
      <c r="C95" s="1" t="s">
        <v>188</v>
      </c>
      <c r="D95" s="1">
        <v>2700</v>
      </c>
      <c r="E95" s="1">
        <v>19</v>
      </c>
      <c r="F95" s="1">
        <v>12.8</v>
      </c>
      <c r="G95" s="1">
        <v>2695</v>
      </c>
      <c r="H95" s="1">
        <v>19.000399999999999</v>
      </c>
      <c r="I95" s="1">
        <v>13.048799999999998</v>
      </c>
      <c r="J95" s="1">
        <v>18000</v>
      </c>
      <c r="K95" s="1">
        <v>18360</v>
      </c>
      <c r="L95" s="5">
        <f t="shared" si="8"/>
        <v>16739.999999999996</v>
      </c>
      <c r="M95" s="5">
        <f t="shared" si="9"/>
        <v>16039.562000000002</v>
      </c>
      <c r="N95" s="5">
        <f t="shared" si="10"/>
        <v>1.0779999999974876</v>
      </c>
      <c r="O95" s="5">
        <f t="shared" si="11"/>
        <v>-670.51599999999314</v>
      </c>
      <c r="P95" s="1"/>
    </row>
    <row r="96" spans="1:16" ht="13.4" customHeight="1">
      <c r="A96" s="1"/>
      <c r="B96" s="1"/>
      <c r="C96" s="1" t="s">
        <v>189</v>
      </c>
      <c r="D96" s="1">
        <v>1700</v>
      </c>
      <c r="E96" s="1">
        <v>95</v>
      </c>
      <c r="F96" s="1">
        <v>67.2</v>
      </c>
      <c r="G96" s="1">
        <v>1881</v>
      </c>
      <c r="H96" s="1">
        <v>92.839299999999994</v>
      </c>
      <c r="I96" s="1">
        <v>69.610900000000001</v>
      </c>
      <c r="J96" s="1">
        <v>18000</v>
      </c>
      <c r="K96" s="1">
        <v>18450</v>
      </c>
      <c r="L96" s="5">
        <f t="shared" si="8"/>
        <v>47259.999999999993</v>
      </c>
      <c r="M96" s="5">
        <f t="shared" si="9"/>
        <v>43692.620399999985</v>
      </c>
      <c r="N96" s="5">
        <f t="shared" si="10"/>
        <v>-4064.2767000000104</v>
      </c>
      <c r="O96" s="5">
        <f t="shared" si="11"/>
        <v>-4534.9028999999964</v>
      </c>
      <c r="P96" s="1"/>
    </row>
    <row r="97" spans="1:16" ht="13.4" customHeight="1">
      <c r="A97" s="1"/>
      <c r="B97" s="1"/>
      <c r="C97" s="1" t="s">
        <v>190</v>
      </c>
      <c r="D97" s="1">
        <v>2050</v>
      </c>
      <c r="E97" s="1">
        <v>44</v>
      </c>
      <c r="F97" s="1">
        <v>27.1</v>
      </c>
      <c r="G97" s="1">
        <v>1968</v>
      </c>
      <c r="H97" s="1">
        <v>43.504899999999992</v>
      </c>
      <c r="I97" s="1">
        <v>27.969700000000003</v>
      </c>
      <c r="J97" s="1">
        <v>18000</v>
      </c>
      <c r="K97" s="1">
        <v>18450</v>
      </c>
      <c r="L97" s="5">
        <f t="shared" si="8"/>
        <v>34645</v>
      </c>
      <c r="M97" s="5">
        <f t="shared" si="9"/>
        <v>30573.273599999979</v>
      </c>
      <c r="N97" s="5">
        <f t="shared" si="10"/>
        <v>-974.35680000001548</v>
      </c>
      <c r="O97" s="5">
        <f t="shared" si="11"/>
        <v>-1711.5696000000034</v>
      </c>
      <c r="P97" s="1"/>
    </row>
    <row r="98" spans="1:16" ht="13.4" customHeight="1">
      <c r="A98" s="1"/>
      <c r="B98" s="1"/>
      <c r="C98" s="1" t="s">
        <v>191</v>
      </c>
      <c r="D98" s="1">
        <v>2400</v>
      </c>
      <c r="E98" s="1">
        <v>19</v>
      </c>
      <c r="F98" s="1">
        <v>12.8</v>
      </c>
      <c r="G98" s="1">
        <v>2335</v>
      </c>
      <c r="H98" s="1">
        <v>18.695400000000003</v>
      </c>
      <c r="I98" s="1">
        <v>13.298</v>
      </c>
      <c r="J98" s="1">
        <v>18000</v>
      </c>
      <c r="K98" s="1">
        <v>18450</v>
      </c>
      <c r="L98" s="5">
        <f t="shared" si="8"/>
        <v>14879.999999999998</v>
      </c>
      <c r="M98" s="5">
        <f t="shared" si="9"/>
        <v>12602.929000000007</v>
      </c>
      <c r="N98" s="5">
        <f t="shared" si="10"/>
        <v>-711.24099999999316</v>
      </c>
      <c r="O98" s="5">
        <f t="shared" si="11"/>
        <v>-1162.8299999999983</v>
      </c>
      <c r="P98" s="1"/>
    </row>
    <row r="99" spans="1:16" ht="13.4" customHeight="1">
      <c r="A99" s="1"/>
      <c r="B99" s="1"/>
      <c r="C99" s="1" t="s">
        <v>192</v>
      </c>
      <c r="D99" s="1">
        <v>1850</v>
      </c>
      <c r="E99" s="1">
        <v>95</v>
      </c>
      <c r="F99" s="1">
        <v>67.2</v>
      </c>
      <c r="G99" s="1">
        <v>1712</v>
      </c>
      <c r="H99" s="1">
        <v>94.287199999999999</v>
      </c>
      <c r="I99" s="1">
        <v>71.223200000000006</v>
      </c>
      <c r="J99" s="1">
        <v>18000</v>
      </c>
      <c r="K99" s="1">
        <v>18450</v>
      </c>
      <c r="L99" s="5">
        <f t="shared" si="8"/>
        <v>51429.999999999993</v>
      </c>
      <c r="M99" s="5">
        <f t="shared" si="9"/>
        <v>39485.567999999985</v>
      </c>
      <c r="N99" s="5">
        <f t="shared" si="10"/>
        <v>-1220.3136000000025</v>
      </c>
      <c r="O99" s="5">
        <f t="shared" si="11"/>
        <v>-6887.7184000000052</v>
      </c>
      <c r="P99" s="1"/>
    </row>
    <row r="100" spans="1:16" ht="13.4" customHeight="1">
      <c r="A100" s="1"/>
      <c r="B100" s="1"/>
      <c r="C100" s="1" t="s">
        <v>193</v>
      </c>
      <c r="D100" s="1">
        <v>2200</v>
      </c>
      <c r="E100" s="1">
        <v>44</v>
      </c>
      <c r="F100" s="1">
        <v>27.1</v>
      </c>
      <c r="G100" s="1">
        <v>2462</v>
      </c>
      <c r="H100" s="1">
        <v>42.653399999999998</v>
      </c>
      <c r="I100" s="1">
        <v>26.913499999999999</v>
      </c>
      <c r="J100" s="1">
        <v>18000</v>
      </c>
      <c r="K100" s="1">
        <v>18450</v>
      </c>
      <c r="L100" s="5">
        <f t="shared" si="8"/>
        <v>37180</v>
      </c>
      <c r="M100" s="5">
        <f t="shared" si="9"/>
        <v>38751.633799999996</v>
      </c>
      <c r="N100" s="5">
        <f t="shared" si="10"/>
        <v>-3315.3292000000056</v>
      </c>
      <c r="O100" s="5">
        <f t="shared" si="11"/>
        <v>459.16300000000575</v>
      </c>
      <c r="P100" s="1"/>
    </row>
    <row r="101" spans="1:16" ht="13.4" customHeight="1">
      <c r="A101" s="1"/>
      <c r="B101" s="1"/>
      <c r="C101" s="1" t="s">
        <v>194</v>
      </c>
      <c r="D101" s="1">
        <v>2550</v>
      </c>
      <c r="E101" s="1">
        <v>19</v>
      </c>
      <c r="F101" s="1">
        <v>12.8</v>
      </c>
      <c r="G101" s="1">
        <v>2463</v>
      </c>
      <c r="H101" s="1">
        <v>19.398900000000005</v>
      </c>
      <c r="I101" s="1">
        <v>13.4384</v>
      </c>
      <c r="J101" s="1">
        <v>18000</v>
      </c>
      <c r="K101" s="1">
        <v>18450</v>
      </c>
      <c r="L101" s="5">
        <f t="shared" si="8"/>
        <v>15809.999999999998</v>
      </c>
      <c r="M101" s="5">
        <f t="shared" si="9"/>
        <v>14680.711500000012</v>
      </c>
      <c r="N101" s="5">
        <f t="shared" si="10"/>
        <v>982.49070000001154</v>
      </c>
      <c r="O101" s="5">
        <f t="shared" si="11"/>
        <v>-1572.3791999999974</v>
      </c>
      <c r="P101" s="1"/>
    </row>
    <row r="102" spans="1:16" ht="13.4" customHeight="1">
      <c r="A102" s="1"/>
      <c r="B102" s="1"/>
      <c r="C102" s="1" t="s">
        <v>195</v>
      </c>
      <c r="D102" s="1">
        <v>2000</v>
      </c>
      <c r="E102" s="1">
        <v>95</v>
      </c>
      <c r="F102" s="1">
        <v>67.2</v>
      </c>
      <c r="G102" s="1">
        <v>2189</v>
      </c>
      <c r="H102" s="1">
        <v>93.781300000000002</v>
      </c>
      <c r="I102" s="1">
        <v>66.421000000000006</v>
      </c>
      <c r="J102" s="1">
        <v>18000</v>
      </c>
      <c r="K102" s="1">
        <v>18450</v>
      </c>
      <c r="L102" s="5">
        <f t="shared" si="8"/>
        <v>55599.999999999993</v>
      </c>
      <c r="M102" s="5">
        <f t="shared" si="9"/>
        <v>59891.696699999986</v>
      </c>
      <c r="N102" s="5">
        <f t="shared" si="10"/>
        <v>-2667.7342999999964</v>
      </c>
      <c r="O102" s="5">
        <f t="shared" si="11"/>
        <v>1705.230999999992</v>
      </c>
      <c r="P102" s="1"/>
    </row>
    <row r="103" spans="1:16" ht="13.4" customHeight="1">
      <c r="A103" s="1"/>
      <c r="B103" s="1"/>
      <c r="C103" s="1" t="s">
        <v>196</v>
      </c>
      <c r="D103" s="1">
        <v>2350</v>
      </c>
      <c r="E103" s="1">
        <v>44</v>
      </c>
      <c r="F103" s="1">
        <v>27.1</v>
      </c>
      <c r="G103" s="1">
        <v>2550</v>
      </c>
      <c r="H103" s="1">
        <v>44.317300000000003</v>
      </c>
      <c r="I103" s="1">
        <v>27.831499999999998</v>
      </c>
      <c r="J103" s="1">
        <v>18000</v>
      </c>
      <c r="K103" s="1">
        <v>18450</v>
      </c>
      <c r="L103" s="5">
        <f t="shared" si="8"/>
        <v>39715</v>
      </c>
      <c r="M103" s="5">
        <f t="shared" si="9"/>
        <v>42038.790000000015</v>
      </c>
      <c r="N103" s="5">
        <f t="shared" si="10"/>
        <v>809.11500000000774</v>
      </c>
      <c r="O103" s="5">
        <f t="shared" si="11"/>
        <v>-1865.3249999999921</v>
      </c>
      <c r="P103" s="1"/>
    </row>
    <row r="104" spans="1:16" ht="13.4" customHeight="1">
      <c r="A104" s="1"/>
      <c r="B104" s="1"/>
      <c r="C104" s="1" t="s">
        <v>197</v>
      </c>
      <c r="D104" s="1">
        <v>2700</v>
      </c>
      <c r="E104" s="1">
        <v>19</v>
      </c>
      <c r="F104" s="1">
        <v>12.8</v>
      </c>
      <c r="G104" s="1">
        <v>3017</v>
      </c>
      <c r="H104" s="1">
        <v>19.080500000000001</v>
      </c>
      <c r="I104" s="1">
        <v>12.4885</v>
      </c>
      <c r="J104" s="1">
        <v>18000</v>
      </c>
      <c r="K104" s="1">
        <v>18450</v>
      </c>
      <c r="L104" s="5">
        <f t="shared" si="8"/>
        <v>16739.999999999996</v>
      </c>
      <c r="M104" s="5">
        <f t="shared" si="9"/>
        <v>19888.064000000002</v>
      </c>
      <c r="N104" s="5">
        <f t="shared" si="10"/>
        <v>242.86850000000206</v>
      </c>
      <c r="O104" s="5">
        <f t="shared" si="11"/>
        <v>939.79550000000165</v>
      </c>
      <c r="P104" s="1"/>
    </row>
    <row r="105" spans="1:16" ht="13.4" customHeight="1">
      <c r="A105" s="1"/>
      <c r="B105" s="1"/>
      <c r="C105" s="1" t="s">
        <v>198</v>
      </c>
      <c r="D105" s="1">
        <v>2295</v>
      </c>
      <c r="E105" s="1">
        <v>95</v>
      </c>
      <c r="F105" s="1">
        <v>67.2</v>
      </c>
      <c r="G105" s="1">
        <v>2482</v>
      </c>
      <c r="H105" s="1">
        <v>93.381500000000003</v>
      </c>
      <c r="I105" s="1">
        <v>69.309299999999993</v>
      </c>
      <c r="J105" s="1">
        <v>18000</v>
      </c>
      <c r="K105" s="1">
        <v>18540</v>
      </c>
      <c r="L105" s="5">
        <f t="shared" si="8"/>
        <v>63800.999999999993</v>
      </c>
      <c r="M105" s="5">
        <f t="shared" si="9"/>
        <v>59747.200400000023</v>
      </c>
      <c r="N105" s="5">
        <f t="shared" si="10"/>
        <v>-4017.1169999999934</v>
      </c>
      <c r="O105" s="5">
        <f t="shared" si="11"/>
        <v>-5235.2825999999759</v>
      </c>
      <c r="P105" s="1"/>
    </row>
    <row r="106" spans="1:16" ht="13.4" customHeight="1">
      <c r="A106" s="1"/>
      <c r="B106" s="1"/>
      <c r="C106" s="1" t="s">
        <v>199</v>
      </c>
      <c r="D106" s="1">
        <v>2768</v>
      </c>
      <c r="E106" s="1">
        <v>44</v>
      </c>
      <c r="F106" s="1">
        <v>27.1</v>
      </c>
      <c r="G106" s="1">
        <v>3065</v>
      </c>
      <c r="H106" s="1">
        <v>42.814500000000002</v>
      </c>
      <c r="I106" s="1">
        <v>26.688400000000005</v>
      </c>
      <c r="J106" s="1">
        <v>18000</v>
      </c>
      <c r="K106" s="1">
        <v>18540</v>
      </c>
      <c r="L106" s="5">
        <f t="shared" si="8"/>
        <v>46779.199999999997</v>
      </c>
      <c r="M106" s="5">
        <f t="shared" si="9"/>
        <v>49426.496499999994</v>
      </c>
      <c r="N106" s="5">
        <f t="shared" si="10"/>
        <v>-3633.5574999999926</v>
      </c>
      <c r="O106" s="5">
        <f t="shared" si="11"/>
        <v>1261.5539999999889</v>
      </c>
      <c r="P106" s="1"/>
    </row>
    <row r="107" spans="1:16" ht="13.4" customHeight="1">
      <c r="A107" s="1"/>
      <c r="B107" s="1"/>
      <c r="C107" s="1" t="s">
        <v>200</v>
      </c>
      <c r="D107" s="1">
        <v>3240</v>
      </c>
      <c r="E107" s="1">
        <v>19</v>
      </c>
      <c r="F107" s="1">
        <v>12.8</v>
      </c>
      <c r="G107" s="1">
        <v>3021</v>
      </c>
      <c r="H107" s="1">
        <v>18.965699999999998</v>
      </c>
      <c r="I107" s="1">
        <v>12.776300000000001</v>
      </c>
      <c r="J107" s="1">
        <v>18000</v>
      </c>
      <c r="K107" s="1">
        <v>18540</v>
      </c>
      <c r="L107" s="5">
        <f t="shared" si="8"/>
        <v>20087.999999999996</v>
      </c>
      <c r="M107" s="5">
        <f t="shared" si="9"/>
        <v>18698.177399999993</v>
      </c>
      <c r="N107" s="5">
        <f t="shared" si="10"/>
        <v>-103.62030000000536</v>
      </c>
      <c r="O107" s="5">
        <f t="shared" si="11"/>
        <v>71.597699999999492</v>
      </c>
      <c r="P107" s="1"/>
    </row>
    <row r="108" spans="1:16" ht="13.4" customHeight="1">
      <c r="A108" s="1"/>
      <c r="B108" s="1"/>
      <c r="C108" s="1" t="s">
        <v>201</v>
      </c>
      <c r="D108" s="1">
        <v>2498</v>
      </c>
      <c r="E108" s="1">
        <v>95</v>
      </c>
      <c r="F108" s="1">
        <v>67.2</v>
      </c>
      <c r="G108" s="1">
        <v>2590</v>
      </c>
      <c r="H108" s="1">
        <v>95.7654</v>
      </c>
      <c r="I108" s="1">
        <v>66.682900000000004</v>
      </c>
      <c r="J108" s="1">
        <v>18000</v>
      </c>
      <c r="K108" s="1">
        <v>18540</v>
      </c>
      <c r="L108" s="5">
        <f t="shared" si="8"/>
        <v>69444.399999999994</v>
      </c>
      <c r="M108" s="5">
        <f t="shared" si="9"/>
        <v>75323.674999999988</v>
      </c>
      <c r="N108" s="5">
        <f t="shared" si="10"/>
        <v>1982.3859999999991</v>
      </c>
      <c r="O108" s="5">
        <f t="shared" si="11"/>
        <v>1339.2889999999979</v>
      </c>
      <c r="P108" s="1"/>
    </row>
    <row r="109" spans="1:16" ht="13.4" customHeight="1">
      <c r="A109" s="1"/>
      <c r="B109" s="1"/>
      <c r="C109" s="1" t="s">
        <v>202</v>
      </c>
      <c r="D109" s="1">
        <v>2970</v>
      </c>
      <c r="E109" s="1">
        <v>44</v>
      </c>
      <c r="F109" s="1">
        <v>27.1</v>
      </c>
      <c r="G109" s="1">
        <v>3098</v>
      </c>
      <c r="H109" s="1">
        <v>43.156899999999993</v>
      </c>
      <c r="I109" s="1">
        <v>27.547799999999999</v>
      </c>
      <c r="J109" s="1">
        <v>18000</v>
      </c>
      <c r="K109" s="1">
        <v>18540</v>
      </c>
      <c r="L109" s="5">
        <f t="shared" si="8"/>
        <v>50192.999999999993</v>
      </c>
      <c r="M109" s="5">
        <f t="shared" si="9"/>
        <v>48356.991799999982</v>
      </c>
      <c r="N109" s="5">
        <f t="shared" si="10"/>
        <v>-2611.9238000000214</v>
      </c>
      <c r="O109" s="5">
        <f t="shared" si="11"/>
        <v>-1387.2843999999916</v>
      </c>
      <c r="P109" s="1"/>
    </row>
    <row r="110" spans="1:16" ht="13.4" customHeight="1">
      <c r="A110" s="1"/>
      <c r="B110" s="1"/>
      <c r="C110" s="1" t="s">
        <v>203</v>
      </c>
      <c r="D110" s="1">
        <v>3442</v>
      </c>
      <c r="E110" s="1">
        <v>19</v>
      </c>
      <c r="F110" s="1">
        <v>12.8</v>
      </c>
      <c r="G110" s="1">
        <v>3787</v>
      </c>
      <c r="H110" s="1">
        <v>19.299600000000002</v>
      </c>
      <c r="I110" s="1">
        <v>12.580399999999999</v>
      </c>
      <c r="J110" s="1">
        <v>18000</v>
      </c>
      <c r="K110" s="1">
        <v>18540</v>
      </c>
      <c r="L110" s="5">
        <f t="shared" si="8"/>
        <v>21340.399999999998</v>
      </c>
      <c r="M110" s="5">
        <f t="shared" si="9"/>
        <v>25445.610400000009</v>
      </c>
      <c r="N110" s="5">
        <f t="shared" si="10"/>
        <v>1134.5852000000061</v>
      </c>
      <c r="O110" s="5">
        <f t="shared" si="11"/>
        <v>831.62520000000598</v>
      </c>
      <c r="P110" s="1"/>
    </row>
    <row r="111" spans="1:16" ht="13.4" customHeight="1">
      <c r="A111" s="1"/>
      <c r="B111" s="1"/>
      <c r="C111" s="1" t="s">
        <v>204</v>
      </c>
      <c r="D111" s="1">
        <v>2700</v>
      </c>
      <c r="E111" s="1">
        <v>95</v>
      </c>
      <c r="F111" s="1">
        <v>67.2</v>
      </c>
      <c r="G111" s="1">
        <v>2697</v>
      </c>
      <c r="H111" s="1">
        <v>93.252099999999999</v>
      </c>
      <c r="I111" s="1">
        <v>65.540300000000002</v>
      </c>
      <c r="J111" s="1">
        <v>18000</v>
      </c>
      <c r="K111" s="1">
        <v>18540</v>
      </c>
      <c r="L111" s="5">
        <f t="shared" ref="L111:L142" si="12">D111*(E111-F111)</f>
        <v>75059.999999999985</v>
      </c>
      <c r="M111" s="5">
        <f t="shared" ref="M111:M142" si="13">G111*(H111-I111)</f>
        <v>74738.724599999987</v>
      </c>
      <c r="N111" s="5">
        <f t="shared" ref="N111:N142" si="14">G111*(H111-E111)</f>
        <v>-4714.0863000000036</v>
      </c>
      <c r="O111" s="5">
        <f t="shared" ref="O111:O142" si="15">-G111*(I111-F111)</f>
        <v>4476.2109000000019</v>
      </c>
      <c r="P111" s="1"/>
    </row>
    <row r="112" spans="1:16" ht="13.4" customHeight="1">
      <c r="A112" s="1"/>
      <c r="B112" s="1"/>
      <c r="C112" s="1" t="s">
        <v>205</v>
      </c>
      <c r="D112" s="1">
        <v>3172</v>
      </c>
      <c r="E112" s="1">
        <v>44</v>
      </c>
      <c r="F112" s="1">
        <v>27.1</v>
      </c>
      <c r="G112" s="1">
        <v>3400</v>
      </c>
      <c r="H112" s="1">
        <v>44.142000000000003</v>
      </c>
      <c r="I112" s="1">
        <v>27.0259</v>
      </c>
      <c r="J112" s="1">
        <v>18000</v>
      </c>
      <c r="K112" s="1">
        <v>18540</v>
      </c>
      <c r="L112" s="5">
        <f t="shared" si="12"/>
        <v>53606.799999999996</v>
      </c>
      <c r="M112" s="5">
        <f t="shared" si="13"/>
        <v>58194.740000000013</v>
      </c>
      <c r="N112" s="5">
        <f t="shared" si="14"/>
        <v>482.80000000001024</v>
      </c>
      <c r="O112" s="5">
        <f t="shared" si="15"/>
        <v>251.94000000000472</v>
      </c>
      <c r="P112" s="1"/>
    </row>
    <row r="113" spans="1:16" ht="13.4" customHeight="1">
      <c r="A113" s="1"/>
      <c r="B113" s="1"/>
      <c r="C113" s="1" t="s">
        <v>206</v>
      </c>
      <c r="D113" s="1">
        <v>3645</v>
      </c>
      <c r="E113" s="1">
        <v>19</v>
      </c>
      <c r="F113" s="1">
        <v>12.8</v>
      </c>
      <c r="G113" s="1">
        <v>3884</v>
      </c>
      <c r="H113" s="1">
        <v>18.963899999999999</v>
      </c>
      <c r="I113" s="1">
        <v>12.945299999999998</v>
      </c>
      <c r="J113" s="1">
        <v>18000</v>
      </c>
      <c r="K113" s="1">
        <v>18540</v>
      </c>
      <c r="L113" s="5">
        <f t="shared" si="12"/>
        <v>22598.999999999996</v>
      </c>
      <c r="M113" s="5">
        <f t="shared" si="13"/>
        <v>23376.242400000003</v>
      </c>
      <c r="N113" s="5">
        <f t="shared" si="14"/>
        <v>-140.21240000000438</v>
      </c>
      <c r="O113" s="5">
        <f t="shared" si="15"/>
        <v>-564.34519999998872</v>
      </c>
      <c r="P113" s="1"/>
    </row>
    <row r="114" spans="1:16" ht="13.4" customHeight="1">
      <c r="A114" s="1"/>
      <c r="B114" s="1"/>
      <c r="C114" s="1" t="s">
        <v>207</v>
      </c>
      <c r="D114" s="1">
        <v>2295</v>
      </c>
      <c r="E114" s="1">
        <v>95</v>
      </c>
      <c r="F114" s="1">
        <v>67.2</v>
      </c>
      <c r="G114" s="1">
        <v>2093</v>
      </c>
      <c r="H114" s="1">
        <v>92.103899999999996</v>
      </c>
      <c r="I114" s="1">
        <v>70.564300000000003</v>
      </c>
      <c r="J114" s="1">
        <v>18000</v>
      </c>
      <c r="K114" s="1">
        <v>18360</v>
      </c>
      <c r="L114" s="5">
        <f t="shared" si="12"/>
        <v>63800.999999999993</v>
      </c>
      <c r="M114" s="5">
        <f t="shared" si="13"/>
        <v>45082.382799999985</v>
      </c>
      <c r="N114" s="5">
        <f t="shared" si="14"/>
        <v>-6061.5373000000091</v>
      </c>
      <c r="O114" s="5">
        <f t="shared" si="15"/>
        <v>-7041.4799000000003</v>
      </c>
      <c r="P114" s="1"/>
    </row>
    <row r="115" spans="1:16" ht="13.4" customHeight="1">
      <c r="A115" s="1"/>
      <c r="B115" s="1"/>
      <c r="C115" s="1" t="s">
        <v>208</v>
      </c>
      <c r="D115" s="1">
        <v>2768</v>
      </c>
      <c r="E115" s="1">
        <v>44</v>
      </c>
      <c r="F115" s="1">
        <v>27.1</v>
      </c>
      <c r="G115" s="1">
        <v>3044</v>
      </c>
      <c r="H115" s="1">
        <v>43.900399999999991</v>
      </c>
      <c r="I115" s="1">
        <v>28.344999999999999</v>
      </c>
      <c r="J115" s="1">
        <v>18000</v>
      </c>
      <c r="K115" s="1">
        <v>18360</v>
      </c>
      <c r="L115" s="5">
        <f t="shared" si="12"/>
        <v>46779.199999999997</v>
      </c>
      <c r="M115" s="5">
        <f t="shared" si="13"/>
        <v>47350.637599999973</v>
      </c>
      <c r="N115" s="5">
        <f t="shared" si="14"/>
        <v>-303.18240000002879</v>
      </c>
      <c r="O115" s="5">
        <f t="shared" si="15"/>
        <v>-3789.779999999992</v>
      </c>
      <c r="P115" s="1"/>
    </row>
    <row r="116" spans="1:16" ht="13.4" customHeight="1">
      <c r="A116" s="1"/>
      <c r="B116" s="1"/>
      <c r="C116" s="1" t="s">
        <v>209</v>
      </c>
      <c r="D116" s="1">
        <v>3240</v>
      </c>
      <c r="E116" s="1">
        <v>19</v>
      </c>
      <c r="F116" s="1">
        <v>12.8</v>
      </c>
      <c r="G116" s="1">
        <v>3345</v>
      </c>
      <c r="H116" s="1">
        <v>18.503799999999998</v>
      </c>
      <c r="I116" s="1">
        <v>12.6187</v>
      </c>
      <c r="J116" s="1">
        <v>18000</v>
      </c>
      <c r="K116" s="1">
        <v>18360</v>
      </c>
      <c r="L116" s="5">
        <f t="shared" si="12"/>
        <v>20087.999999999996</v>
      </c>
      <c r="M116" s="5">
        <f t="shared" si="13"/>
        <v>19685.659499999994</v>
      </c>
      <c r="N116" s="5">
        <f t="shared" si="14"/>
        <v>-1659.7890000000059</v>
      </c>
      <c r="O116" s="5">
        <f t="shared" si="15"/>
        <v>606.44850000000076</v>
      </c>
      <c r="P116" s="1"/>
    </row>
    <row r="117" spans="1:16" ht="13.4" customHeight="1">
      <c r="A117" s="1"/>
      <c r="B117" s="1"/>
      <c r="C117" s="1" t="s">
        <v>210</v>
      </c>
      <c r="D117" s="1">
        <v>2498</v>
      </c>
      <c r="E117" s="1">
        <v>95</v>
      </c>
      <c r="F117" s="1">
        <v>67.2</v>
      </c>
      <c r="G117" s="1">
        <v>2435</v>
      </c>
      <c r="H117" s="1">
        <v>96.799199999999999</v>
      </c>
      <c r="I117" s="1">
        <v>70.067499999999995</v>
      </c>
      <c r="J117" s="1">
        <v>18000</v>
      </c>
      <c r="K117" s="1">
        <v>18360</v>
      </c>
      <c r="L117" s="5">
        <f t="shared" si="12"/>
        <v>69444.399999999994</v>
      </c>
      <c r="M117" s="5">
        <f t="shared" si="13"/>
        <v>65091.689500000008</v>
      </c>
      <c r="N117" s="5">
        <f t="shared" si="14"/>
        <v>4381.0519999999979</v>
      </c>
      <c r="O117" s="5">
        <f t="shared" si="15"/>
        <v>-6982.362499999982</v>
      </c>
      <c r="P117" s="1"/>
    </row>
    <row r="118" spans="1:16" ht="13.4" customHeight="1">
      <c r="A118" s="1"/>
      <c r="B118" s="1"/>
      <c r="C118" s="1" t="s">
        <v>211</v>
      </c>
      <c r="D118" s="1">
        <v>2970</v>
      </c>
      <c r="E118" s="1">
        <v>44</v>
      </c>
      <c r="F118" s="1">
        <v>27.1</v>
      </c>
      <c r="G118" s="1">
        <v>3240</v>
      </c>
      <c r="H118" s="1">
        <v>44.833199999999998</v>
      </c>
      <c r="I118" s="1">
        <v>26.906400000000001</v>
      </c>
      <c r="J118" s="1">
        <v>18000</v>
      </c>
      <c r="K118" s="1">
        <v>18360</v>
      </c>
      <c r="L118" s="5">
        <f t="shared" si="12"/>
        <v>50192.999999999993</v>
      </c>
      <c r="M118" s="5">
        <f t="shared" si="13"/>
        <v>58082.831999999988</v>
      </c>
      <c r="N118" s="5">
        <f t="shared" si="14"/>
        <v>2699.5679999999934</v>
      </c>
      <c r="O118" s="5">
        <f t="shared" si="15"/>
        <v>627.26400000000001</v>
      </c>
      <c r="P118" s="1"/>
    </row>
    <row r="119" spans="1:16" ht="13.4" customHeight="1">
      <c r="A119" s="1"/>
      <c r="B119" s="1"/>
      <c r="C119" s="1" t="s">
        <v>212</v>
      </c>
      <c r="D119" s="1">
        <v>3442</v>
      </c>
      <c r="E119" s="1">
        <v>19</v>
      </c>
      <c r="F119" s="1">
        <v>12.8</v>
      </c>
      <c r="G119" s="1">
        <v>3313</v>
      </c>
      <c r="H119" s="1">
        <v>18.452200000000001</v>
      </c>
      <c r="I119" s="1">
        <v>13.328799999999999</v>
      </c>
      <c r="J119" s="1">
        <v>18000</v>
      </c>
      <c r="K119" s="1">
        <v>18360</v>
      </c>
      <c r="L119" s="5">
        <f t="shared" si="12"/>
        <v>21340.399999999998</v>
      </c>
      <c r="M119" s="5">
        <f t="shared" si="13"/>
        <v>16973.824200000006</v>
      </c>
      <c r="N119" s="5">
        <f t="shared" si="14"/>
        <v>-1814.8613999999959</v>
      </c>
      <c r="O119" s="5">
        <f t="shared" si="15"/>
        <v>-1751.9143999999953</v>
      </c>
      <c r="P119" s="1"/>
    </row>
    <row r="120" spans="1:16" ht="13.4" customHeight="1">
      <c r="A120" s="1"/>
      <c r="B120" s="1"/>
      <c r="C120" s="1" t="s">
        <v>213</v>
      </c>
      <c r="D120" s="1">
        <v>2700</v>
      </c>
      <c r="E120" s="1">
        <v>95</v>
      </c>
      <c r="F120" s="1">
        <v>67.2</v>
      </c>
      <c r="G120" s="1">
        <v>2958</v>
      </c>
      <c r="H120" s="1">
        <v>93.991399999999999</v>
      </c>
      <c r="I120" s="1">
        <v>69.065200000000004</v>
      </c>
      <c r="J120" s="1">
        <v>18000</v>
      </c>
      <c r="K120" s="1">
        <v>18360</v>
      </c>
      <c r="L120" s="5">
        <f t="shared" si="12"/>
        <v>75059.999999999985</v>
      </c>
      <c r="M120" s="5">
        <f t="shared" si="13"/>
        <v>73731.699599999978</v>
      </c>
      <c r="N120" s="5">
        <f t="shared" si="14"/>
        <v>-2983.4388000000035</v>
      </c>
      <c r="O120" s="5">
        <f t="shared" si="15"/>
        <v>-5517.2616000000044</v>
      </c>
      <c r="P120" s="1"/>
    </row>
    <row r="121" spans="1:16" ht="13.4" customHeight="1">
      <c r="A121" s="1"/>
      <c r="B121" s="1"/>
      <c r="C121" s="1" t="s">
        <v>214</v>
      </c>
      <c r="D121" s="1">
        <v>3172</v>
      </c>
      <c r="E121" s="1">
        <v>44</v>
      </c>
      <c r="F121" s="1">
        <v>27.1</v>
      </c>
      <c r="G121" s="1">
        <v>2989</v>
      </c>
      <c r="H121" s="1">
        <v>44.914900000000003</v>
      </c>
      <c r="I121" s="1">
        <v>28.414099999999998</v>
      </c>
      <c r="J121" s="1">
        <v>18000</v>
      </c>
      <c r="K121" s="1">
        <v>18360</v>
      </c>
      <c r="L121" s="5">
        <f t="shared" si="12"/>
        <v>53606.799999999996</v>
      </c>
      <c r="M121" s="5">
        <f t="shared" si="13"/>
        <v>49320.891200000013</v>
      </c>
      <c r="N121" s="5">
        <f t="shared" si="14"/>
        <v>2734.6361000000088</v>
      </c>
      <c r="O121" s="5">
        <f t="shared" si="15"/>
        <v>-3927.8448999999887</v>
      </c>
      <c r="P121" s="1"/>
    </row>
    <row r="122" spans="1:16" ht="13.4" customHeight="1">
      <c r="A122" s="1"/>
      <c r="B122" s="1"/>
      <c r="C122" s="1" t="s">
        <v>215</v>
      </c>
      <c r="D122" s="1">
        <v>3645</v>
      </c>
      <c r="E122" s="1">
        <v>19</v>
      </c>
      <c r="F122" s="1">
        <v>12.8</v>
      </c>
      <c r="G122" s="1">
        <v>4064</v>
      </c>
      <c r="H122" s="1">
        <v>19.2593</v>
      </c>
      <c r="I122" s="1">
        <v>13.439000000000002</v>
      </c>
      <c r="J122" s="1">
        <v>18000</v>
      </c>
      <c r="K122" s="1">
        <v>18360</v>
      </c>
      <c r="L122" s="5">
        <f t="shared" si="12"/>
        <v>22598.999999999996</v>
      </c>
      <c r="M122" s="5">
        <f t="shared" si="13"/>
        <v>23653.699199999992</v>
      </c>
      <c r="N122" s="5">
        <f t="shared" si="14"/>
        <v>1053.7951999999987</v>
      </c>
      <c r="O122" s="5">
        <f t="shared" si="15"/>
        <v>-2596.8960000000047</v>
      </c>
      <c r="P122" s="1"/>
    </row>
    <row r="123" spans="1:16" ht="13.4" customHeight="1">
      <c r="A123" s="1"/>
      <c r="B123" s="1"/>
      <c r="C123" s="1" t="s">
        <v>216</v>
      </c>
      <c r="D123" s="1">
        <v>1591</v>
      </c>
      <c r="E123" s="1">
        <v>95.95</v>
      </c>
      <c r="F123" s="1">
        <v>67.2</v>
      </c>
      <c r="G123" s="1">
        <v>1456</v>
      </c>
      <c r="H123" s="1">
        <v>96.8322</v>
      </c>
      <c r="I123" s="1">
        <v>67.417400000000001</v>
      </c>
      <c r="J123" s="1">
        <v>18000</v>
      </c>
      <c r="K123" s="1">
        <v>18450</v>
      </c>
      <c r="L123" s="5">
        <f t="shared" si="12"/>
        <v>45741.25</v>
      </c>
      <c r="M123" s="5">
        <f t="shared" si="13"/>
        <v>42827.948799999998</v>
      </c>
      <c r="N123" s="5">
        <f t="shared" si="14"/>
        <v>1284.4831999999963</v>
      </c>
      <c r="O123" s="5">
        <f t="shared" si="15"/>
        <v>-316.53439999999682</v>
      </c>
      <c r="P123" s="1"/>
    </row>
    <row r="124" spans="1:16" ht="13.4" customHeight="1">
      <c r="A124" s="1"/>
      <c r="B124" s="1"/>
      <c r="C124" s="1" t="s">
        <v>217</v>
      </c>
      <c r="D124" s="1">
        <v>1919</v>
      </c>
      <c r="E124" s="1">
        <v>44.44</v>
      </c>
      <c r="F124" s="1">
        <v>27.1</v>
      </c>
      <c r="G124" s="1">
        <v>2121</v>
      </c>
      <c r="H124" s="1">
        <v>45.023699999999998</v>
      </c>
      <c r="I124" s="1">
        <v>28.4129</v>
      </c>
      <c r="J124" s="1">
        <v>18000</v>
      </c>
      <c r="K124" s="1">
        <v>18450</v>
      </c>
      <c r="L124" s="5">
        <f t="shared" si="12"/>
        <v>33275.459999999992</v>
      </c>
      <c r="M124" s="5">
        <f t="shared" si="13"/>
        <v>35231.506799999996</v>
      </c>
      <c r="N124" s="5">
        <f t="shared" si="14"/>
        <v>1238.0277000000008</v>
      </c>
      <c r="O124" s="5">
        <f t="shared" si="15"/>
        <v>-2784.660899999998</v>
      </c>
      <c r="P124" s="1"/>
    </row>
    <row r="125" spans="1:16" ht="13.4" customHeight="1">
      <c r="A125" s="1"/>
      <c r="B125" s="1"/>
      <c r="C125" s="1" t="s">
        <v>218</v>
      </c>
      <c r="D125" s="1">
        <v>2246</v>
      </c>
      <c r="E125" s="1">
        <v>19.190000000000001</v>
      </c>
      <c r="F125" s="1">
        <v>12.8</v>
      </c>
      <c r="G125" s="1">
        <v>2426</v>
      </c>
      <c r="H125" s="1">
        <v>18.825600000000001</v>
      </c>
      <c r="I125" s="1">
        <v>13.3367</v>
      </c>
      <c r="J125" s="1">
        <v>18000</v>
      </c>
      <c r="K125" s="1">
        <v>18450</v>
      </c>
      <c r="L125" s="5">
        <f t="shared" si="12"/>
        <v>14351.94</v>
      </c>
      <c r="M125" s="5">
        <f t="shared" si="13"/>
        <v>13316.071400000003</v>
      </c>
      <c r="N125" s="5">
        <f t="shared" si="14"/>
        <v>-884.03439999999955</v>
      </c>
      <c r="O125" s="5">
        <f t="shared" si="15"/>
        <v>-1302.0341999999994</v>
      </c>
      <c r="P125" s="1"/>
    </row>
    <row r="126" spans="1:16" ht="13.4" customHeight="1">
      <c r="A126" s="1"/>
      <c r="B126" s="1"/>
      <c r="C126" s="1" t="s">
        <v>219</v>
      </c>
      <c r="D126" s="1">
        <v>1732</v>
      </c>
      <c r="E126" s="1">
        <v>95.95</v>
      </c>
      <c r="F126" s="1">
        <v>67.2</v>
      </c>
      <c r="G126" s="1">
        <v>1615</v>
      </c>
      <c r="H126" s="1">
        <v>97.612799999999993</v>
      </c>
      <c r="I126" s="1">
        <v>70.424300000000002</v>
      </c>
      <c r="J126" s="1">
        <v>18000</v>
      </c>
      <c r="K126" s="1">
        <v>18450</v>
      </c>
      <c r="L126" s="5">
        <f t="shared" si="12"/>
        <v>49795</v>
      </c>
      <c r="M126" s="5">
        <f t="shared" si="13"/>
        <v>43909.427499999983</v>
      </c>
      <c r="N126" s="5">
        <f t="shared" si="14"/>
        <v>2685.4219999999841</v>
      </c>
      <c r="O126" s="5">
        <f t="shared" si="15"/>
        <v>-5207.2444999999989</v>
      </c>
      <c r="P126" s="1"/>
    </row>
    <row r="127" spans="1:16" ht="13.4" customHeight="1">
      <c r="A127" s="1"/>
      <c r="B127" s="1"/>
      <c r="C127" s="1" t="s">
        <v>220</v>
      </c>
      <c r="D127" s="1">
        <v>2059</v>
      </c>
      <c r="E127" s="1">
        <v>44.44</v>
      </c>
      <c r="F127" s="1">
        <v>27.1</v>
      </c>
      <c r="G127" s="1">
        <v>1970</v>
      </c>
      <c r="H127" s="1">
        <v>45.061900000000001</v>
      </c>
      <c r="I127" s="1">
        <v>27.482800000000001</v>
      </c>
      <c r="J127" s="1">
        <v>18000</v>
      </c>
      <c r="K127" s="1">
        <v>18450</v>
      </c>
      <c r="L127" s="5">
        <f t="shared" si="12"/>
        <v>35703.05999999999</v>
      </c>
      <c r="M127" s="5">
        <f t="shared" si="13"/>
        <v>34630.826999999997</v>
      </c>
      <c r="N127" s="5">
        <f t="shared" si="14"/>
        <v>1225.1430000000073</v>
      </c>
      <c r="O127" s="5">
        <f t="shared" si="15"/>
        <v>-754.11599999999919</v>
      </c>
      <c r="P127" s="1"/>
    </row>
    <row r="128" spans="1:16" ht="13.4" customHeight="1">
      <c r="A128" s="1"/>
      <c r="B128" s="1"/>
      <c r="C128" s="1" t="s">
        <v>221</v>
      </c>
      <c r="D128" s="1">
        <v>2387</v>
      </c>
      <c r="E128" s="1">
        <v>19.190000000000001</v>
      </c>
      <c r="F128" s="1">
        <v>12.8</v>
      </c>
      <c r="G128" s="1">
        <v>2325</v>
      </c>
      <c r="H128" s="1">
        <v>19.434100000000001</v>
      </c>
      <c r="I128" s="1">
        <v>12.727600000000001</v>
      </c>
      <c r="J128" s="1">
        <v>18000</v>
      </c>
      <c r="K128" s="1">
        <v>18450</v>
      </c>
      <c r="L128" s="5">
        <f t="shared" si="12"/>
        <v>15252.930000000002</v>
      </c>
      <c r="M128" s="5">
        <f t="shared" si="13"/>
        <v>15592.612500000001</v>
      </c>
      <c r="N128" s="5">
        <f t="shared" si="14"/>
        <v>567.53249999999889</v>
      </c>
      <c r="O128" s="5">
        <f t="shared" si="15"/>
        <v>168.33000000000004</v>
      </c>
      <c r="P128" s="1"/>
    </row>
    <row r="129" spans="1:16" ht="13.4" customHeight="1">
      <c r="A129" s="1"/>
      <c r="B129" s="1"/>
      <c r="C129" s="1" t="s">
        <v>222</v>
      </c>
      <c r="D129" s="1">
        <v>1872</v>
      </c>
      <c r="E129" s="1">
        <v>95.95</v>
      </c>
      <c r="F129" s="1">
        <v>67.2</v>
      </c>
      <c r="G129" s="1">
        <v>1713</v>
      </c>
      <c r="H129" s="1">
        <v>93.703599999999994</v>
      </c>
      <c r="I129" s="1">
        <v>67.394999999999996</v>
      </c>
      <c r="J129" s="1">
        <v>18000</v>
      </c>
      <c r="K129" s="1">
        <v>18450</v>
      </c>
      <c r="L129" s="5">
        <f t="shared" si="12"/>
        <v>53820</v>
      </c>
      <c r="M129" s="5">
        <f t="shared" si="13"/>
        <v>45066.631799999996</v>
      </c>
      <c r="N129" s="5">
        <f t="shared" si="14"/>
        <v>-3848.0832000000146</v>
      </c>
      <c r="O129" s="5">
        <f t="shared" si="15"/>
        <v>-334.03499999998832</v>
      </c>
      <c r="P129" s="1"/>
    </row>
    <row r="130" spans="1:16" ht="13.4" customHeight="1">
      <c r="A130" s="1"/>
      <c r="B130" s="1"/>
      <c r="C130" s="1" t="s">
        <v>223</v>
      </c>
      <c r="D130" s="1">
        <v>2200</v>
      </c>
      <c r="E130" s="1">
        <v>44.44</v>
      </c>
      <c r="F130" s="1">
        <v>27.1</v>
      </c>
      <c r="G130" s="1">
        <v>2401</v>
      </c>
      <c r="H130" s="1">
        <v>45.462699999999991</v>
      </c>
      <c r="I130" s="1">
        <v>27.0655</v>
      </c>
      <c r="J130" s="1">
        <v>18000</v>
      </c>
      <c r="K130" s="1">
        <v>18450</v>
      </c>
      <c r="L130" s="5">
        <f t="shared" si="12"/>
        <v>38147.999999999993</v>
      </c>
      <c r="M130" s="5">
        <f t="shared" si="13"/>
        <v>44171.677199999976</v>
      </c>
      <c r="N130" s="5">
        <f t="shared" si="14"/>
        <v>2455.5026999999841</v>
      </c>
      <c r="O130" s="5">
        <f t="shared" si="15"/>
        <v>82.834500000003146</v>
      </c>
      <c r="P130" s="1"/>
    </row>
    <row r="131" spans="1:16" ht="13.4" customHeight="1">
      <c r="A131" s="1"/>
      <c r="B131" s="1"/>
      <c r="C131" s="1" t="s">
        <v>224</v>
      </c>
      <c r="D131" s="1">
        <v>2527</v>
      </c>
      <c r="E131" s="1">
        <v>19.190000000000001</v>
      </c>
      <c r="F131" s="1">
        <v>12.8</v>
      </c>
      <c r="G131" s="1">
        <v>2640</v>
      </c>
      <c r="H131" s="1">
        <v>18.9785</v>
      </c>
      <c r="I131" s="1">
        <v>13.547500000000001</v>
      </c>
      <c r="J131" s="1">
        <v>18000</v>
      </c>
      <c r="K131" s="1">
        <v>18450</v>
      </c>
      <c r="L131" s="5">
        <f t="shared" si="12"/>
        <v>16147.53</v>
      </c>
      <c r="M131" s="5">
        <f t="shared" si="13"/>
        <v>14337.839999999998</v>
      </c>
      <c r="N131" s="5">
        <f t="shared" si="14"/>
        <v>-558.3600000000024</v>
      </c>
      <c r="O131" s="5">
        <f t="shared" si="15"/>
        <v>-1973.4000000000012</v>
      </c>
      <c r="P131" s="1"/>
    </row>
    <row r="132" spans="1:16" ht="13.4" customHeight="1">
      <c r="A132" s="1"/>
      <c r="B132" s="1"/>
      <c r="C132" s="1" t="s">
        <v>225</v>
      </c>
      <c r="D132" s="1">
        <v>1591</v>
      </c>
      <c r="E132" s="1">
        <v>95.95</v>
      </c>
      <c r="F132" s="1">
        <v>67.2</v>
      </c>
      <c r="G132" s="1">
        <v>1627</v>
      </c>
      <c r="H132" s="1">
        <v>97.998900000000006</v>
      </c>
      <c r="I132" s="1">
        <v>66.178799999999995</v>
      </c>
      <c r="J132" s="1">
        <v>18000</v>
      </c>
      <c r="K132" s="1">
        <v>18540</v>
      </c>
      <c r="L132" s="5">
        <f t="shared" si="12"/>
        <v>45741.25</v>
      </c>
      <c r="M132" s="5">
        <f t="shared" si="13"/>
        <v>51771.302700000015</v>
      </c>
      <c r="N132" s="5">
        <f t="shared" si="14"/>
        <v>3333.5603000000056</v>
      </c>
      <c r="O132" s="5">
        <f t="shared" si="15"/>
        <v>1661.4924000000121</v>
      </c>
      <c r="P132" s="1"/>
    </row>
    <row r="133" spans="1:16" ht="13.4" customHeight="1">
      <c r="A133" s="1"/>
      <c r="B133" s="1"/>
      <c r="C133" s="1" t="s">
        <v>226</v>
      </c>
      <c r="D133" s="1">
        <v>1919</v>
      </c>
      <c r="E133" s="1">
        <v>44.44</v>
      </c>
      <c r="F133" s="1">
        <v>27.1</v>
      </c>
      <c r="G133" s="1">
        <v>2137</v>
      </c>
      <c r="H133" s="1">
        <v>43.360700000000001</v>
      </c>
      <c r="I133" s="1">
        <v>28.639700000000001</v>
      </c>
      <c r="J133" s="1">
        <v>18000</v>
      </c>
      <c r="K133" s="1">
        <v>18540</v>
      </c>
      <c r="L133" s="5">
        <f t="shared" si="12"/>
        <v>33275.459999999992</v>
      </c>
      <c r="M133" s="5">
        <f t="shared" si="13"/>
        <v>31458.777000000002</v>
      </c>
      <c r="N133" s="5">
        <f t="shared" si="14"/>
        <v>-2306.4640999999924</v>
      </c>
      <c r="O133" s="5">
        <f t="shared" si="15"/>
        <v>-3290.3388999999997</v>
      </c>
      <c r="P133" s="1"/>
    </row>
    <row r="134" spans="1:16" ht="13.4" customHeight="1">
      <c r="A134" s="1"/>
      <c r="B134" s="1"/>
      <c r="C134" s="1" t="s">
        <v>227</v>
      </c>
      <c r="D134" s="1">
        <v>2246</v>
      </c>
      <c r="E134" s="1">
        <v>19.190000000000001</v>
      </c>
      <c r="F134" s="1">
        <v>12.8</v>
      </c>
      <c r="G134" s="1">
        <v>2169</v>
      </c>
      <c r="H134" s="1">
        <v>18.6432</v>
      </c>
      <c r="I134" s="1">
        <v>12.9528</v>
      </c>
      <c r="J134" s="1">
        <v>18000</v>
      </c>
      <c r="K134" s="1">
        <v>18540</v>
      </c>
      <c r="L134" s="5">
        <f t="shared" si="12"/>
        <v>14351.94</v>
      </c>
      <c r="M134" s="5">
        <f t="shared" si="13"/>
        <v>12342.4776</v>
      </c>
      <c r="N134" s="5">
        <f t="shared" si="14"/>
        <v>-1186.0092000000022</v>
      </c>
      <c r="O134" s="5">
        <f t="shared" si="15"/>
        <v>-331.42319999999819</v>
      </c>
      <c r="P134" s="1"/>
    </row>
    <row r="135" spans="1:16" ht="13.4" customHeight="1">
      <c r="A135" s="1"/>
      <c r="B135" s="1"/>
      <c r="C135" s="1" t="s">
        <v>228</v>
      </c>
      <c r="D135" s="1">
        <v>1732</v>
      </c>
      <c r="E135" s="1">
        <v>95.95</v>
      </c>
      <c r="F135" s="1">
        <v>67.2</v>
      </c>
      <c r="G135" s="1">
        <v>1841</v>
      </c>
      <c r="H135" s="1">
        <v>94.397599999999997</v>
      </c>
      <c r="I135" s="1">
        <v>68.982699999999994</v>
      </c>
      <c r="J135" s="1">
        <v>18000</v>
      </c>
      <c r="K135" s="1">
        <v>18540</v>
      </c>
      <c r="L135" s="5">
        <f t="shared" si="12"/>
        <v>49795</v>
      </c>
      <c r="M135" s="5">
        <f t="shared" si="13"/>
        <v>46788.830900000008</v>
      </c>
      <c r="N135" s="5">
        <f t="shared" si="14"/>
        <v>-2857.9684000000107</v>
      </c>
      <c r="O135" s="5">
        <f t="shared" si="15"/>
        <v>-3281.950699999984</v>
      </c>
      <c r="P135" s="1"/>
    </row>
    <row r="136" spans="1:16" ht="13.4" customHeight="1">
      <c r="A136" s="1"/>
      <c r="B136" s="1"/>
      <c r="C136" s="1" t="s">
        <v>229</v>
      </c>
      <c r="D136" s="1">
        <v>2059</v>
      </c>
      <c r="E136" s="1">
        <v>44.44</v>
      </c>
      <c r="F136" s="1">
        <v>27.1</v>
      </c>
      <c r="G136" s="1">
        <v>2095</v>
      </c>
      <c r="H136" s="1">
        <v>43.911700000000003</v>
      </c>
      <c r="I136" s="1">
        <v>27.750700000000002</v>
      </c>
      <c r="J136" s="1">
        <v>18000</v>
      </c>
      <c r="K136" s="1">
        <v>18540</v>
      </c>
      <c r="L136" s="5">
        <f t="shared" si="12"/>
        <v>35703.05999999999</v>
      </c>
      <c r="M136" s="5">
        <f t="shared" si="13"/>
        <v>33857.295000000006</v>
      </c>
      <c r="N136" s="5">
        <f t="shared" si="14"/>
        <v>-1106.7884999999883</v>
      </c>
      <c r="O136" s="5">
        <f t="shared" si="15"/>
        <v>-1363.2165000000011</v>
      </c>
      <c r="P136" s="1"/>
    </row>
    <row r="137" spans="1:16" ht="13.4" customHeight="1">
      <c r="A137" s="1"/>
      <c r="B137" s="1"/>
      <c r="C137" s="1" t="s">
        <v>230</v>
      </c>
      <c r="D137" s="1">
        <v>2387</v>
      </c>
      <c r="E137" s="1">
        <v>19.190000000000001</v>
      </c>
      <c r="F137" s="1">
        <v>12.8</v>
      </c>
      <c r="G137" s="1">
        <v>2300</v>
      </c>
      <c r="H137" s="1">
        <v>19.334399999999999</v>
      </c>
      <c r="I137" s="1">
        <v>12.4818</v>
      </c>
      <c r="J137" s="1">
        <v>18000</v>
      </c>
      <c r="K137" s="1">
        <v>18540</v>
      </c>
      <c r="L137" s="5">
        <f t="shared" si="12"/>
        <v>15252.930000000002</v>
      </c>
      <c r="M137" s="5">
        <f t="shared" si="13"/>
        <v>15760.979999999998</v>
      </c>
      <c r="N137" s="5">
        <f t="shared" si="14"/>
        <v>332.11999999999409</v>
      </c>
      <c r="O137" s="5">
        <f t="shared" si="15"/>
        <v>731.86000000000217</v>
      </c>
      <c r="P137" s="1"/>
    </row>
    <row r="138" spans="1:16" ht="13.4" customHeight="1">
      <c r="A138" s="1"/>
      <c r="B138" s="1"/>
      <c r="C138" s="1" t="s">
        <v>231</v>
      </c>
      <c r="D138" s="1">
        <v>1872</v>
      </c>
      <c r="E138" s="1">
        <v>95.95</v>
      </c>
      <c r="F138" s="1">
        <v>67.2</v>
      </c>
      <c r="G138" s="1">
        <v>2067</v>
      </c>
      <c r="H138" s="1">
        <v>95.691599999999994</v>
      </c>
      <c r="I138" s="1">
        <v>69.629400000000004</v>
      </c>
      <c r="J138" s="1">
        <v>18000</v>
      </c>
      <c r="K138" s="1">
        <v>18540</v>
      </c>
      <c r="L138" s="5">
        <f t="shared" si="12"/>
        <v>53820</v>
      </c>
      <c r="M138" s="5">
        <f t="shared" si="13"/>
        <v>53870.567399999978</v>
      </c>
      <c r="N138" s="5">
        <f t="shared" si="14"/>
        <v>-534.1128000000183</v>
      </c>
      <c r="O138" s="5">
        <f t="shared" si="15"/>
        <v>-5021.569800000002</v>
      </c>
      <c r="P138" s="1"/>
    </row>
    <row r="139" spans="1:16" ht="13.4" customHeight="1">
      <c r="A139" s="1"/>
      <c r="B139" s="1"/>
      <c r="C139" s="1" t="s">
        <v>232</v>
      </c>
      <c r="D139" s="1">
        <v>2200</v>
      </c>
      <c r="E139" s="1">
        <v>44.44</v>
      </c>
      <c r="F139" s="1">
        <v>27.1</v>
      </c>
      <c r="G139" s="1">
        <v>2345</v>
      </c>
      <c r="H139" s="1">
        <v>44.672800000000002</v>
      </c>
      <c r="I139" s="1">
        <v>27.261500000000002</v>
      </c>
      <c r="J139" s="1">
        <v>18000</v>
      </c>
      <c r="K139" s="1">
        <v>18540</v>
      </c>
      <c r="L139" s="5">
        <f t="shared" si="12"/>
        <v>38147.999999999993</v>
      </c>
      <c r="M139" s="5">
        <f t="shared" si="13"/>
        <v>40829.498500000002</v>
      </c>
      <c r="N139" s="5">
        <f t="shared" si="14"/>
        <v>545.91600000001074</v>
      </c>
      <c r="O139" s="5">
        <f t="shared" si="15"/>
        <v>-378.71750000000048</v>
      </c>
      <c r="P139" s="1"/>
    </row>
    <row r="140" spans="1:16" ht="13.4" customHeight="1">
      <c r="A140" s="1"/>
      <c r="B140" s="1"/>
      <c r="C140" s="1" t="s">
        <v>233</v>
      </c>
      <c r="D140" s="1">
        <v>2527</v>
      </c>
      <c r="E140" s="1">
        <v>19.190000000000001</v>
      </c>
      <c r="F140" s="1">
        <v>12.8</v>
      </c>
      <c r="G140" s="1">
        <v>2337</v>
      </c>
      <c r="H140" s="1">
        <v>19.283200000000001</v>
      </c>
      <c r="I140" s="1">
        <v>12.8393</v>
      </c>
      <c r="J140" s="1">
        <v>18000</v>
      </c>
      <c r="K140" s="1">
        <v>18540</v>
      </c>
      <c r="L140" s="5">
        <f t="shared" si="12"/>
        <v>16147.53</v>
      </c>
      <c r="M140" s="5">
        <f t="shared" si="13"/>
        <v>15059.394300000002</v>
      </c>
      <c r="N140" s="5">
        <f t="shared" si="14"/>
        <v>217.80839999999884</v>
      </c>
      <c r="O140" s="5">
        <f t="shared" si="15"/>
        <v>-91.844099999997667</v>
      </c>
      <c r="P140" s="1"/>
    </row>
    <row r="141" spans="1:16" ht="13.4" customHeight="1">
      <c r="A141" s="1"/>
      <c r="B141" s="1"/>
      <c r="C141" s="1" t="s">
        <v>234</v>
      </c>
      <c r="D141" s="1">
        <v>1768</v>
      </c>
      <c r="E141" s="1">
        <v>95.95</v>
      </c>
      <c r="F141" s="1">
        <v>67.2</v>
      </c>
      <c r="G141" s="1">
        <v>1725</v>
      </c>
      <c r="H141" s="1">
        <v>97.473799999999997</v>
      </c>
      <c r="I141" s="1">
        <v>69.631200000000007</v>
      </c>
      <c r="J141" s="1">
        <v>18000</v>
      </c>
      <c r="K141" s="1">
        <v>18360</v>
      </c>
      <c r="L141" s="5">
        <f t="shared" si="12"/>
        <v>50830</v>
      </c>
      <c r="M141" s="5">
        <f t="shared" si="13"/>
        <v>48028.484999999986</v>
      </c>
      <c r="N141" s="5">
        <f t="shared" si="14"/>
        <v>2628.5549999999903</v>
      </c>
      <c r="O141" s="5">
        <f t="shared" si="15"/>
        <v>-4193.820000000007</v>
      </c>
      <c r="P141" s="1"/>
    </row>
    <row r="142" spans="1:16" ht="13.4" customHeight="1">
      <c r="A142" s="1"/>
      <c r="B142" s="1"/>
      <c r="C142" s="1" t="s">
        <v>235</v>
      </c>
      <c r="D142" s="1">
        <v>2132</v>
      </c>
      <c r="E142" s="1">
        <v>44.44</v>
      </c>
      <c r="F142" s="1">
        <v>27.1</v>
      </c>
      <c r="G142" s="1">
        <v>2075</v>
      </c>
      <c r="H142" s="1">
        <v>43.709299999999999</v>
      </c>
      <c r="I142" s="1">
        <v>27.363199999999999</v>
      </c>
      <c r="J142" s="1">
        <v>18000</v>
      </c>
      <c r="K142" s="1">
        <v>18360</v>
      </c>
      <c r="L142" s="5">
        <f t="shared" si="12"/>
        <v>36968.87999999999</v>
      </c>
      <c r="M142" s="5">
        <f t="shared" si="13"/>
        <v>33918.157500000001</v>
      </c>
      <c r="N142" s="5">
        <f t="shared" si="14"/>
        <v>-1516.2024999999976</v>
      </c>
      <c r="O142" s="5">
        <f t="shared" si="15"/>
        <v>-546.1399999999951</v>
      </c>
      <c r="P142" s="1"/>
    </row>
    <row r="143" spans="1:16" ht="13.4" customHeight="1">
      <c r="A143" s="1"/>
      <c r="B143" s="1"/>
      <c r="C143" s="1" t="s">
        <v>236</v>
      </c>
      <c r="D143" s="1">
        <v>2496</v>
      </c>
      <c r="E143" s="1">
        <v>19.190000000000001</v>
      </c>
      <c r="F143" s="1">
        <v>12.8</v>
      </c>
      <c r="G143" s="1">
        <v>2482</v>
      </c>
      <c r="H143" s="1">
        <v>18.858799999999999</v>
      </c>
      <c r="I143" s="1">
        <v>12.618499999999999</v>
      </c>
      <c r="J143" s="1">
        <v>18000</v>
      </c>
      <c r="K143" s="1">
        <v>18360</v>
      </c>
      <c r="L143" s="5">
        <f t="shared" ref="L143:L176" si="16">D143*(E143-F143)</f>
        <v>15949.440000000002</v>
      </c>
      <c r="M143" s="5">
        <f t="shared" ref="M143:M176" si="17">G143*(H143-I143)</f>
        <v>15488.424599999998</v>
      </c>
      <c r="N143" s="5">
        <f t="shared" ref="N143:N176" si="18">G143*(H143-E143)</f>
        <v>-822.0384000000065</v>
      </c>
      <c r="O143" s="5">
        <f t="shared" ref="O143:O176" si="19">-G143*(I143-F143)</f>
        <v>450.48300000000387</v>
      </c>
      <c r="P143" s="1"/>
    </row>
    <row r="144" spans="1:16" ht="13.4" customHeight="1">
      <c r="A144" s="1"/>
      <c r="B144" s="1"/>
      <c r="C144" s="1" t="s">
        <v>237</v>
      </c>
      <c r="D144" s="1">
        <v>1924</v>
      </c>
      <c r="E144" s="1">
        <v>95.95</v>
      </c>
      <c r="F144" s="1">
        <v>67.2</v>
      </c>
      <c r="G144" s="1">
        <v>1921</v>
      </c>
      <c r="H144" s="1">
        <v>98.005399999999995</v>
      </c>
      <c r="I144" s="1">
        <v>69.388800000000003</v>
      </c>
      <c r="J144" s="1">
        <v>18000</v>
      </c>
      <c r="K144" s="1">
        <v>18360</v>
      </c>
      <c r="L144" s="5">
        <f t="shared" si="16"/>
        <v>55315</v>
      </c>
      <c r="M144" s="5">
        <f t="shared" si="17"/>
        <v>54972.488599999982</v>
      </c>
      <c r="N144" s="5">
        <f t="shared" si="18"/>
        <v>3948.4233999999842</v>
      </c>
      <c r="O144" s="5">
        <f t="shared" si="19"/>
        <v>-4204.6848000000009</v>
      </c>
      <c r="P144" s="1"/>
    </row>
    <row r="145" spans="1:16" ht="13.4" customHeight="1">
      <c r="A145" s="1"/>
      <c r="B145" s="1"/>
      <c r="C145" s="1" t="s">
        <v>238</v>
      </c>
      <c r="D145" s="1">
        <v>2288</v>
      </c>
      <c r="E145" s="1">
        <v>44.44</v>
      </c>
      <c r="F145" s="1">
        <v>27.1</v>
      </c>
      <c r="G145" s="1">
        <v>2516</v>
      </c>
      <c r="H145" s="1">
        <v>44.525799999999997</v>
      </c>
      <c r="I145" s="1">
        <v>27.1157</v>
      </c>
      <c r="J145" s="1">
        <v>18000</v>
      </c>
      <c r="K145" s="1">
        <v>18360</v>
      </c>
      <c r="L145" s="5">
        <f t="shared" si="16"/>
        <v>39673.919999999991</v>
      </c>
      <c r="M145" s="5">
        <f t="shared" si="17"/>
        <v>43803.811599999994</v>
      </c>
      <c r="N145" s="5">
        <f t="shared" si="18"/>
        <v>215.87279999999745</v>
      </c>
      <c r="O145" s="5">
        <f t="shared" si="19"/>
        <v>-39.501199999997326</v>
      </c>
      <c r="P145" s="1"/>
    </row>
    <row r="146" spans="1:16" ht="13.4" customHeight="1">
      <c r="A146" s="1"/>
      <c r="B146" s="1"/>
      <c r="C146" s="1" t="s">
        <v>239</v>
      </c>
      <c r="D146" s="1">
        <v>2652</v>
      </c>
      <c r="E146" s="1">
        <v>19.190000000000001</v>
      </c>
      <c r="F146" s="1">
        <v>12.8</v>
      </c>
      <c r="G146" s="1">
        <v>2718</v>
      </c>
      <c r="H146" s="1">
        <v>18.518799999999999</v>
      </c>
      <c r="I146" s="1">
        <v>12.792199999999999</v>
      </c>
      <c r="J146" s="1">
        <v>18000</v>
      </c>
      <c r="K146" s="1">
        <v>18360</v>
      </c>
      <c r="L146" s="5">
        <f t="shared" si="16"/>
        <v>16946.280000000002</v>
      </c>
      <c r="M146" s="5">
        <f t="shared" si="17"/>
        <v>15564.898799999999</v>
      </c>
      <c r="N146" s="5">
        <f t="shared" si="18"/>
        <v>-1824.3216000000066</v>
      </c>
      <c r="O146" s="5">
        <f t="shared" si="19"/>
        <v>21.2004000000037</v>
      </c>
      <c r="P146" s="1"/>
    </row>
    <row r="147" spans="1:16" ht="13.4" customHeight="1">
      <c r="A147" s="1"/>
      <c r="B147" s="1"/>
      <c r="C147" s="1" t="s">
        <v>240</v>
      </c>
      <c r="D147" s="1">
        <v>2080</v>
      </c>
      <c r="E147" s="1">
        <v>95.95</v>
      </c>
      <c r="F147" s="1">
        <v>67.2</v>
      </c>
      <c r="G147" s="1">
        <v>2081</v>
      </c>
      <c r="H147" s="1">
        <v>95.930700000000002</v>
      </c>
      <c r="I147" s="1">
        <v>69.259699999999995</v>
      </c>
      <c r="J147" s="1">
        <v>18000</v>
      </c>
      <c r="K147" s="1">
        <v>18360</v>
      </c>
      <c r="L147" s="5">
        <f t="shared" si="16"/>
        <v>59800</v>
      </c>
      <c r="M147" s="5">
        <f t="shared" si="17"/>
        <v>55502.351000000017</v>
      </c>
      <c r="N147" s="5">
        <f t="shared" si="18"/>
        <v>-40.163300000002508</v>
      </c>
      <c r="O147" s="5">
        <f t="shared" si="19"/>
        <v>-4286.2356999999838</v>
      </c>
      <c r="P147" s="1"/>
    </row>
    <row r="148" spans="1:16" ht="13.4" customHeight="1">
      <c r="A148" s="1"/>
      <c r="B148" s="1"/>
      <c r="C148" s="1" t="s">
        <v>241</v>
      </c>
      <c r="D148" s="1">
        <v>2444</v>
      </c>
      <c r="E148" s="1">
        <v>44.44</v>
      </c>
      <c r="F148" s="1">
        <v>27.1</v>
      </c>
      <c r="G148" s="1">
        <v>2463</v>
      </c>
      <c r="H148" s="1">
        <v>44.063600000000001</v>
      </c>
      <c r="I148" s="1">
        <v>26.914799999999996</v>
      </c>
      <c r="J148" s="1">
        <v>18000</v>
      </c>
      <c r="K148" s="1">
        <v>18360</v>
      </c>
      <c r="L148" s="5">
        <f t="shared" si="16"/>
        <v>42378.959999999992</v>
      </c>
      <c r="M148" s="5">
        <f t="shared" si="17"/>
        <v>42237.494400000011</v>
      </c>
      <c r="N148" s="5">
        <f t="shared" si="18"/>
        <v>-927.07319999999197</v>
      </c>
      <c r="O148" s="5">
        <f t="shared" si="19"/>
        <v>456.1476000000132</v>
      </c>
      <c r="P148" s="1"/>
    </row>
    <row r="149" spans="1:16" ht="13.4" customHeight="1">
      <c r="A149" s="1"/>
      <c r="B149" s="1"/>
      <c r="C149" s="1" t="s">
        <v>242</v>
      </c>
      <c r="D149" s="1">
        <v>2808</v>
      </c>
      <c r="E149" s="1">
        <v>19.190000000000001</v>
      </c>
      <c r="F149" s="1">
        <v>12.8</v>
      </c>
      <c r="G149" s="1">
        <v>2834</v>
      </c>
      <c r="H149" s="1">
        <v>19.556000000000001</v>
      </c>
      <c r="I149" s="1">
        <v>13.3461</v>
      </c>
      <c r="J149" s="1">
        <v>18000</v>
      </c>
      <c r="K149" s="1">
        <v>18360</v>
      </c>
      <c r="L149" s="5">
        <f t="shared" si="16"/>
        <v>17943.120000000003</v>
      </c>
      <c r="M149" s="5">
        <f t="shared" si="17"/>
        <v>17598.856600000003</v>
      </c>
      <c r="N149" s="5">
        <f t="shared" si="18"/>
        <v>1037.243999999999</v>
      </c>
      <c r="O149" s="5">
        <f t="shared" si="19"/>
        <v>-1547.6473999999976</v>
      </c>
      <c r="P149" s="1"/>
    </row>
    <row r="150" spans="1:16" ht="13.4" customHeight="1">
      <c r="A150" s="1"/>
      <c r="B150" s="1"/>
      <c r="C150" s="1" t="s">
        <v>243</v>
      </c>
      <c r="D150" s="1">
        <v>1768</v>
      </c>
      <c r="E150" s="1">
        <v>95.95</v>
      </c>
      <c r="F150" s="1">
        <v>67.2</v>
      </c>
      <c r="G150" s="1">
        <v>1672</v>
      </c>
      <c r="H150" s="1">
        <v>93.079899999999995</v>
      </c>
      <c r="I150" s="1">
        <v>68.464299999999994</v>
      </c>
      <c r="J150" s="1">
        <v>18000</v>
      </c>
      <c r="K150" s="1">
        <v>18450</v>
      </c>
      <c r="L150" s="5">
        <f t="shared" si="16"/>
        <v>50830</v>
      </c>
      <c r="M150" s="5">
        <f t="shared" si="17"/>
        <v>41157.283199999998</v>
      </c>
      <c r="N150" s="5">
        <f t="shared" si="18"/>
        <v>-4798.8072000000129</v>
      </c>
      <c r="O150" s="5">
        <f t="shared" si="19"/>
        <v>-2113.9095999999859</v>
      </c>
      <c r="P150" s="1"/>
    </row>
    <row r="151" spans="1:16" ht="13.4" customHeight="1">
      <c r="A151" s="1"/>
      <c r="B151" s="1"/>
      <c r="C151" s="1" t="s">
        <v>244</v>
      </c>
      <c r="D151" s="1">
        <v>2132</v>
      </c>
      <c r="E151" s="1">
        <v>44.44</v>
      </c>
      <c r="F151" s="1">
        <v>27.1</v>
      </c>
      <c r="G151" s="1">
        <v>2224</v>
      </c>
      <c r="H151" s="1">
        <v>43.778300000000002</v>
      </c>
      <c r="I151" s="1">
        <v>28.307700000000001</v>
      </c>
      <c r="J151" s="1">
        <v>18000</v>
      </c>
      <c r="K151" s="1">
        <v>18450</v>
      </c>
      <c r="L151" s="5">
        <f t="shared" si="16"/>
        <v>36968.87999999999</v>
      </c>
      <c r="M151" s="5">
        <f t="shared" si="17"/>
        <v>34406.614400000006</v>
      </c>
      <c r="N151" s="5">
        <f t="shared" si="18"/>
        <v>-1471.6207999999915</v>
      </c>
      <c r="O151" s="5">
        <f t="shared" si="19"/>
        <v>-2685.924799999998</v>
      </c>
      <c r="P151" s="1"/>
    </row>
    <row r="152" spans="1:16" ht="13.4" customHeight="1">
      <c r="A152" s="1"/>
      <c r="B152" s="1"/>
      <c r="C152" s="1" t="s">
        <v>245</v>
      </c>
      <c r="D152" s="1">
        <v>2496</v>
      </c>
      <c r="E152" s="1">
        <v>19.190000000000001</v>
      </c>
      <c r="F152" s="1">
        <v>12.8</v>
      </c>
      <c r="G152" s="1">
        <v>2665</v>
      </c>
      <c r="H152" s="1">
        <v>19.292999999999999</v>
      </c>
      <c r="I152" s="1">
        <v>12.724399999999999</v>
      </c>
      <c r="J152" s="1">
        <v>18000</v>
      </c>
      <c r="K152" s="1">
        <v>18450</v>
      </c>
      <c r="L152" s="5">
        <f t="shared" si="16"/>
        <v>15949.440000000002</v>
      </c>
      <c r="M152" s="5">
        <f t="shared" si="17"/>
        <v>17505.319</v>
      </c>
      <c r="N152" s="5">
        <f t="shared" si="18"/>
        <v>274.4949999999946</v>
      </c>
      <c r="O152" s="5">
        <f t="shared" si="19"/>
        <v>201.47400000000385</v>
      </c>
      <c r="P152" s="1"/>
    </row>
    <row r="153" spans="1:16" ht="13.4" customHeight="1">
      <c r="A153" s="1"/>
      <c r="B153" s="1"/>
      <c r="C153" s="1" t="s">
        <v>246</v>
      </c>
      <c r="D153" s="1">
        <v>1924</v>
      </c>
      <c r="E153" s="1">
        <v>95.95</v>
      </c>
      <c r="F153" s="1">
        <v>67.2</v>
      </c>
      <c r="G153" s="1">
        <v>1831</v>
      </c>
      <c r="H153" s="1">
        <v>92.732399999999998</v>
      </c>
      <c r="I153" s="1">
        <v>66.918499999999995</v>
      </c>
      <c r="J153" s="1">
        <v>18000</v>
      </c>
      <c r="K153" s="1">
        <v>18450</v>
      </c>
      <c r="L153" s="5">
        <f t="shared" si="16"/>
        <v>55315</v>
      </c>
      <c r="M153" s="5">
        <f t="shared" si="17"/>
        <v>47265.250900000006</v>
      </c>
      <c r="N153" s="5">
        <f t="shared" si="18"/>
        <v>-5891.4256000000078</v>
      </c>
      <c r="O153" s="5">
        <f t="shared" si="19"/>
        <v>515.42650000001515</v>
      </c>
      <c r="P153" s="1"/>
    </row>
    <row r="154" spans="1:16" ht="13.4" customHeight="1">
      <c r="A154" s="1"/>
      <c r="B154" s="1"/>
      <c r="C154" s="1" t="s">
        <v>247</v>
      </c>
      <c r="D154" s="1">
        <v>2288</v>
      </c>
      <c r="E154" s="1">
        <v>44.44</v>
      </c>
      <c r="F154" s="1">
        <v>27.1</v>
      </c>
      <c r="G154" s="1">
        <v>2310</v>
      </c>
      <c r="H154" s="1">
        <v>45.150300000000001</v>
      </c>
      <c r="I154" s="1">
        <v>26.590299999999999</v>
      </c>
      <c r="J154" s="1">
        <v>18000</v>
      </c>
      <c r="K154" s="1">
        <v>18450</v>
      </c>
      <c r="L154" s="5">
        <f t="shared" si="16"/>
        <v>39673.919999999991</v>
      </c>
      <c r="M154" s="5">
        <f t="shared" si="17"/>
        <v>42873.600000000006</v>
      </c>
      <c r="N154" s="5">
        <f t="shared" si="18"/>
        <v>1640.7930000000085</v>
      </c>
      <c r="O154" s="5">
        <f t="shared" si="19"/>
        <v>1177.4070000000052</v>
      </c>
      <c r="P154" s="1"/>
    </row>
    <row r="155" spans="1:16" ht="13.4" customHeight="1">
      <c r="A155" s="1"/>
      <c r="B155" s="1"/>
      <c r="C155" s="1" t="s">
        <v>248</v>
      </c>
      <c r="D155" s="1">
        <v>2652</v>
      </c>
      <c r="E155" s="1">
        <v>19.190000000000001</v>
      </c>
      <c r="F155" s="1">
        <v>12.8</v>
      </c>
      <c r="G155" s="1">
        <v>2644</v>
      </c>
      <c r="H155" s="1">
        <v>19.243500000000001</v>
      </c>
      <c r="I155" s="1">
        <v>12.6915</v>
      </c>
      <c r="J155" s="1">
        <v>18000</v>
      </c>
      <c r="K155" s="1">
        <v>18450</v>
      </c>
      <c r="L155" s="5">
        <f t="shared" si="16"/>
        <v>16946.280000000002</v>
      </c>
      <c r="M155" s="5">
        <f t="shared" si="17"/>
        <v>17323.488000000005</v>
      </c>
      <c r="N155" s="5">
        <f t="shared" si="18"/>
        <v>141.4539999999991</v>
      </c>
      <c r="O155" s="5">
        <f t="shared" si="19"/>
        <v>286.87400000000304</v>
      </c>
      <c r="P155" s="1"/>
    </row>
    <row r="156" spans="1:16" ht="13.4" customHeight="1">
      <c r="A156" s="1"/>
      <c r="B156" s="1"/>
      <c r="C156" s="1" t="s">
        <v>249</v>
      </c>
      <c r="D156" s="1">
        <v>2080</v>
      </c>
      <c r="E156" s="1">
        <v>95.95</v>
      </c>
      <c r="F156" s="1">
        <v>67.2</v>
      </c>
      <c r="G156" s="1">
        <v>2197</v>
      </c>
      <c r="H156" s="1">
        <v>95.437899999999999</v>
      </c>
      <c r="I156" s="1">
        <v>66.913600000000002</v>
      </c>
      <c r="J156" s="1">
        <v>18000</v>
      </c>
      <c r="K156" s="1">
        <v>18450</v>
      </c>
      <c r="L156" s="5">
        <f t="shared" si="16"/>
        <v>59800</v>
      </c>
      <c r="M156" s="5">
        <f t="shared" si="17"/>
        <v>62667.887099999993</v>
      </c>
      <c r="N156" s="5">
        <f t="shared" si="18"/>
        <v>-1125.0837000000083</v>
      </c>
      <c r="O156" s="5">
        <f t="shared" si="19"/>
        <v>629.22080000000096</v>
      </c>
      <c r="P156" s="1"/>
    </row>
    <row r="157" spans="1:16" ht="13.4" customHeight="1">
      <c r="A157" s="1"/>
      <c r="B157" s="1"/>
      <c r="C157" s="1" t="s">
        <v>250</v>
      </c>
      <c r="D157" s="1">
        <v>2444</v>
      </c>
      <c r="E157" s="1">
        <v>44.44</v>
      </c>
      <c r="F157" s="1">
        <v>27.1</v>
      </c>
      <c r="G157" s="1">
        <v>2561</v>
      </c>
      <c r="H157" s="1">
        <v>42.8994</v>
      </c>
      <c r="I157" s="1">
        <v>28.152300000000004</v>
      </c>
      <c r="J157" s="1">
        <v>18000</v>
      </c>
      <c r="K157" s="1">
        <v>18450</v>
      </c>
      <c r="L157" s="5">
        <f t="shared" si="16"/>
        <v>42378.959999999992</v>
      </c>
      <c r="M157" s="5">
        <f t="shared" si="17"/>
        <v>37767.323099999987</v>
      </c>
      <c r="N157" s="5">
        <f t="shared" si="18"/>
        <v>-3945.4765999999941</v>
      </c>
      <c r="O157" s="5">
        <f t="shared" si="19"/>
        <v>-2694.9403000000061</v>
      </c>
      <c r="P157" s="1"/>
    </row>
    <row r="158" spans="1:16" ht="13.4" customHeight="1">
      <c r="A158" s="1"/>
      <c r="B158" s="1"/>
      <c r="C158" s="1" t="s">
        <v>251</v>
      </c>
      <c r="D158" s="1">
        <v>2808</v>
      </c>
      <c r="E158" s="1">
        <v>19.190000000000001</v>
      </c>
      <c r="F158" s="1">
        <v>12.8</v>
      </c>
      <c r="G158" s="1">
        <v>3009</v>
      </c>
      <c r="H158" s="1">
        <v>18.641100000000002</v>
      </c>
      <c r="I158" s="1">
        <v>12.942600000000001</v>
      </c>
      <c r="J158" s="1">
        <v>18000</v>
      </c>
      <c r="K158" s="1">
        <v>18450</v>
      </c>
      <c r="L158" s="5">
        <f t="shared" si="16"/>
        <v>17943.120000000003</v>
      </c>
      <c r="M158" s="5">
        <f t="shared" si="17"/>
        <v>17146.786500000002</v>
      </c>
      <c r="N158" s="5">
        <f t="shared" si="18"/>
        <v>-1651.6400999999992</v>
      </c>
      <c r="O158" s="5">
        <f t="shared" si="19"/>
        <v>-429.08339999999953</v>
      </c>
      <c r="P158" s="1"/>
    </row>
    <row r="159" spans="1:16" ht="13.4" customHeight="1">
      <c r="A159" s="1"/>
      <c r="B159" s="1"/>
      <c r="C159" s="1" t="s">
        <v>252</v>
      </c>
      <c r="D159" s="1">
        <v>1768</v>
      </c>
      <c r="E159" s="1">
        <v>95.95</v>
      </c>
      <c r="F159" s="1">
        <v>67.2</v>
      </c>
      <c r="G159" s="1">
        <v>1674</v>
      </c>
      <c r="H159" s="1">
        <v>98.106800000000007</v>
      </c>
      <c r="I159" s="1">
        <v>68.4786</v>
      </c>
      <c r="J159" s="1">
        <v>18000</v>
      </c>
      <c r="K159" s="1">
        <v>18540</v>
      </c>
      <c r="L159" s="5">
        <f t="shared" si="16"/>
        <v>50830</v>
      </c>
      <c r="M159" s="5">
        <f t="shared" si="17"/>
        <v>49597.606800000009</v>
      </c>
      <c r="N159" s="5">
        <f t="shared" si="18"/>
        <v>3610.4832000000069</v>
      </c>
      <c r="O159" s="5">
        <f t="shared" si="19"/>
        <v>-2140.3763999999956</v>
      </c>
      <c r="P159" s="1"/>
    </row>
    <row r="160" spans="1:16" ht="13.4" customHeight="1">
      <c r="A160" s="1"/>
      <c r="B160" s="1"/>
      <c r="C160" s="1" t="s">
        <v>253</v>
      </c>
      <c r="D160" s="1">
        <v>2132</v>
      </c>
      <c r="E160" s="1">
        <v>44.44</v>
      </c>
      <c r="F160" s="1">
        <v>27.1</v>
      </c>
      <c r="G160" s="1">
        <v>1963</v>
      </c>
      <c r="H160" s="1">
        <v>43.54910000000001</v>
      </c>
      <c r="I160" s="1">
        <v>28.3766</v>
      </c>
      <c r="J160" s="1">
        <v>18000</v>
      </c>
      <c r="K160" s="1">
        <v>18540</v>
      </c>
      <c r="L160" s="5">
        <f t="shared" si="16"/>
        <v>36968.87999999999</v>
      </c>
      <c r="M160" s="5">
        <f t="shared" si="17"/>
        <v>29783.617500000018</v>
      </c>
      <c r="N160" s="5">
        <f t="shared" si="18"/>
        <v>-1748.8366999999762</v>
      </c>
      <c r="O160" s="5">
        <f t="shared" si="19"/>
        <v>-2505.9657999999968</v>
      </c>
      <c r="P160" s="1"/>
    </row>
    <row r="161" spans="1:16" ht="13.4" customHeight="1">
      <c r="A161" s="1"/>
      <c r="B161" s="1"/>
      <c r="C161" s="1" t="s">
        <v>254</v>
      </c>
      <c r="D161" s="1">
        <v>2496</v>
      </c>
      <c r="E161" s="1">
        <v>19.190000000000001</v>
      </c>
      <c r="F161" s="1">
        <v>12.8</v>
      </c>
      <c r="G161" s="1">
        <v>2511</v>
      </c>
      <c r="H161" s="1">
        <v>19.441099999999999</v>
      </c>
      <c r="I161" s="1">
        <v>13.206300000000001</v>
      </c>
      <c r="J161" s="1">
        <v>18000</v>
      </c>
      <c r="K161" s="1">
        <v>18540</v>
      </c>
      <c r="L161" s="5">
        <f t="shared" si="16"/>
        <v>15949.440000000002</v>
      </c>
      <c r="M161" s="5">
        <f t="shared" si="17"/>
        <v>15655.582799999995</v>
      </c>
      <c r="N161" s="5">
        <f t="shared" si="18"/>
        <v>630.51209999999355</v>
      </c>
      <c r="O161" s="5">
        <f t="shared" si="19"/>
        <v>-1020.2192999999997</v>
      </c>
      <c r="P161" s="1"/>
    </row>
    <row r="162" spans="1:16" ht="13.4" customHeight="1">
      <c r="A162" s="1"/>
      <c r="B162" s="1"/>
      <c r="C162" s="1" t="s">
        <v>255</v>
      </c>
      <c r="D162" s="1">
        <v>1924</v>
      </c>
      <c r="E162" s="1">
        <v>95.95</v>
      </c>
      <c r="F162" s="1">
        <v>67.2</v>
      </c>
      <c r="G162" s="1">
        <v>2150</v>
      </c>
      <c r="H162" s="1">
        <v>96.019800000000004</v>
      </c>
      <c r="I162" s="1">
        <v>70.946600000000004</v>
      </c>
      <c r="J162" s="1">
        <v>18000</v>
      </c>
      <c r="K162" s="1">
        <v>18540</v>
      </c>
      <c r="L162" s="5">
        <f t="shared" si="16"/>
        <v>55315</v>
      </c>
      <c r="M162" s="5">
        <f t="shared" si="17"/>
        <v>53907.38</v>
      </c>
      <c r="N162" s="5">
        <f t="shared" si="18"/>
        <v>150.07000000000161</v>
      </c>
      <c r="O162" s="5">
        <f t="shared" si="19"/>
        <v>-8055.1900000000014</v>
      </c>
      <c r="P162" s="1"/>
    </row>
    <row r="163" spans="1:16" ht="13.4" customHeight="1">
      <c r="A163" s="1"/>
      <c r="B163" s="1"/>
      <c r="C163" s="1" t="s">
        <v>256</v>
      </c>
      <c r="D163" s="1">
        <v>2288</v>
      </c>
      <c r="E163" s="1">
        <v>44.44</v>
      </c>
      <c r="F163" s="1">
        <v>27.1</v>
      </c>
      <c r="G163" s="1">
        <v>2510</v>
      </c>
      <c r="H163" s="1">
        <v>44.5182</v>
      </c>
      <c r="I163" s="1">
        <v>28.079299999999996</v>
      </c>
      <c r="J163" s="1">
        <v>18000</v>
      </c>
      <c r="K163" s="1">
        <v>18540</v>
      </c>
      <c r="L163" s="5">
        <f t="shared" si="16"/>
        <v>39673.919999999991</v>
      </c>
      <c r="M163" s="5">
        <f t="shared" si="17"/>
        <v>41261.63900000001</v>
      </c>
      <c r="N163" s="5">
        <f t="shared" si="18"/>
        <v>196.28200000000624</v>
      </c>
      <c r="O163" s="5">
        <f t="shared" si="19"/>
        <v>-2458.0429999999874</v>
      </c>
      <c r="P163" s="1"/>
    </row>
    <row r="164" spans="1:16" ht="13.4" customHeight="1">
      <c r="A164" s="1"/>
      <c r="B164" s="1"/>
      <c r="C164" s="1" t="s">
        <v>257</v>
      </c>
      <c r="D164" s="1">
        <v>2652</v>
      </c>
      <c r="E164" s="1">
        <v>19.190000000000001</v>
      </c>
      <c r="F164" s="1">
        <v>12.8</v>
      </c>
      <c r="G164" s="1">
        <v>2694</v>
      </c>
      <c r="H164" s="1">
        <v>19.474699999999999</v>
      </c>
      <c r="I164" s="1">
        <v>13.076100000000002</v>
      </c>
      <c r="J164" s="1">
        <v>18000</v>
      </c>
      <c r="K164" s="1">
        <v>18540</v>
      </c>
      <c r="L164" s="5">
        <f t="shared" si="16"/>
        <v>16946.280000000002</v>
      </c>
      <c r="M164" s="5">
        <f t="shared" si="17"/>
        <v>17237.828399999991</v>
      </c>
      <c r="N164" s="5">
        <f t="shared" si="18"/>
        <v>766.98179999999275</v>
      </c>
      <c r="O164" s="5">
        <f t="shared" si="19"/>
        <v>-743.81340000000364</v>
      </c>
      <c r="P164" s="1"/>
    </row>
    <row r="165" spans="1:16" ht="13.4" customHeight="1">
      <c r="A165" s="1"/>
      <c r="B165" s="1"/>
      <c r="C165" s="1" t="s">
        <v>258</v>
      </c>
      <c r="D165" s="1">
        <v>2080</v>
      </c>
      <c r="E165" s="1">
        <v>95.95</v>
      </c>
      <c r="F165" s="1">
        <v>67.2</v>
      </c>
      <c r="G165" s="1">
        <v>2285</v>
      </c>
      <c r="H165" s="1">
        <v>96.873000000000005</v>
      </c>
      <c r="I165" s="1">
        <v>68.231300000000005</v>
      </c>
      <c r="J165" s="1">
        <v>18000</v>
      </c>
      <c r="K165" s="1">
        <v>18540</v>
      </c>
      <c r="L165" s="5">
        <f t="shared" si="16"/>
        <v>59800</v>
      </c>
      <c r="M165" s="5">
        <f t="shared" si="17"/>
        <v>65446.284500000002</v>
      </c>
      <c r="N165" s="5">
        <f t="shared" si="18"/>
        <v>2109.0550000000039</v>
      </c>
      <c r="O165" s="5">
        <f t="shared" si="19"/>
        <v>-2356.5205000000037</v>
      </c>
      <c r="P165" s="1"/>
    </row>
    <row r="166" spans="1:16" ht="13.4" customHeight="1">
      <c r="A166" s="1"/>
      <c r="B166" s="1"/>
      <c r="C166" s="1" t="s">
        <v>259</v>
      </c>
      <c r="D166" s="1">
        <v>2444</v>
      </c>
      <c r="E166" s="1">
        <v>44.44</v>
      </c>
      <c r="F166" s="1">
        <v>27.1</v>
      </c>
      <c r="G166" s="1">
        <v>2357</v>
      </c>
      <c r="H166" s="1">
        <v>43.543799999999997</v>
      </c>
      <c r="I166" s="1">
        <v>27.891400000000001</v>
      </c>
      <c r="J166" s="1">
        <v>18000</v>
      </c>
      <c r="K166" s="1">
        <v>18540</v>
      </c>
      <c r="L166" s="5">
        <f t="shared" si="16"/>
        <v>42378.959999999992</v>
      </c>
      <c r="M166" s="5">
        <f t="shared" si="17"/>
        <v>36892.706799999993</v>
      </c>
      <c r="N166" s="5">
        <f t="shared" si="18"/>
        <v>-2112.3434000000007</v>
      </c>
      <c r="O166" s="5">
        <f t="shared" si="19"/>
        <v>-1865.3297999999986</v>
      </c>
      <c r="P166" s="1"/>
    </row>
    <row r="167" spans="1:16" ht="13.4" customHeight="1">
      <c r="A167" s="1"/>
      <c r="B167" s="1"/>
      <c r="C167" s="1" t="s">
        <v>260</v>
      </c>
      <c r="D167" s="1">
        <v>2808</v>
      </c>
      <c r="E167" s="1">
        <v>19.190000000000001</v>
      </c>
      <c r="F167" s="1">
        <v>12.8</v>
      </c>
      <c r="G167" s="1">
        <v>3007</v>
      </c>
      <c r="H167" s="1">
        <v>19.118600000000001</v>
      </c>
      <c r="I167" s="1">
        <v>13.161899999999999</v>
      </c>
      <c r="J167" s="1">
        <v>18000</v>
      </c>
      <c r="K167" s="1">
        <v>18540</v>
      </c>
      <c r="L167" s="5">
        <f t="shared" si="16"/>
        <v>17943.120000000003</v>
      </c>
      <c r="M167" s="5">
        <f t="shared" si="17"/>
        <v>17911.796900000005</v>
      </c>
      <c r="N167" s="5">
        <f t="shared" si="18"/>
        <v>-214.69980000000172</v>
      </c>
      <c r="O167" s="5">
        <f t="shared" si="19"/>
        <v>-1088.2332999999956</v>
      </c>
      <c r="P167" s="1"/>
    </row>
    <row r="168" spans="1:16" ht="13.4" customHeight="1">
      <c r="A168" s="1"/>
      <c r="B168" s="1"/>
      <c r="C168" s="1" t="s">
        <v>261</v>
      </c>
      <c r="D168" s="1">
        <v>1768</v>
      </c>
      <c r="E168" s="1">
        <v>95.95</v>
      </c>
      <c r="F168" s="1">
        <v>67.2</v>
      </c>
      <c r="G168" s="1">
        <v>1711</v>
      </c>
      <c r="H168" s="1">
        <v>93.037800000000018</v>
      </c>
      <c r="I168" s="1">
        <v>67.152100000000004</v>
      </c>
      <c r="J168" s="1">
        <v>18000</v>
      </c>
      <c r="K168" s="1">
        <v>18360</v>
      </c>
      <c r="L168" s="5">
        <f t="shared" si="16"/>
        <v>50830</v>
      </c>
      <c r="M168" s="5">
        <f t="shared" si="17"/>
        <v>44290.432700000027</v>
      </c>
      <c r="N168" s="5">
        <f t="shared" si="18"/>
        <v>-4982.7741999999735</v>
      </c>
      <c r="O168" s="5">
        <f t="shared" si="19"/>
        <v>81.956899999997432</v>
      </c>
      <c r="P168" s="1"/>
    </row>
    <row r="169" spans="1:16" ht="13.4" customHeight="1">
      <c r="A169" s="1"/>
      <c r="B169" s="1"/>
      <c r="C169" s="1" t="s">
        <v>262</v>
      </c>
      <c r="D169" s="1">
        <v>2132</v>
      </c>
      <c r="E169" s="1">
        <v>44.44</v>
      </c>
      <c r="F169" s="1">
        <v>27.1</v>
      </c>
      <c r="G169" s="1">
        <v>2062</v>
      </c>
      <c r="H169" s="1">
        <v>43.737100000000005</v>
      </c>
      <c r="I169" s="1">
        <v>27.666699999999999</v>
      </c>
      <c r="J169" s="1">
        <v>18000</v>
      </c>
      <c r="K169" s="1">
        <v>18360</v>
      </c>
      <c r="L169" s="5">
        <f t="shared" si="16"/>
        <v>36968.87999999999</v>
      </c>
      <c r="M169" s="5">
        <f t="shared" si="17"/>
        <v>33137.164800000013</v>
      </c>
      <c r="N169" s="5">
        <f t="shared" si="18"/>
        <v>-1449.3797999999847</v>
      </c>
      <c r="O169" s="5">
        <f t="shared" si="19"/>
        <v>-1168.5353999999945</v>
      </c>
      <c r="P169" s="1"/>
    </row>
    <row r="170" spans="1:16" ht="13.4" customHeight="1">
      <c r="A170" s="1"/>
      <c r="B170" s="1"/>
      <c r="C170" s="1" t="s">
        <v>263</v>
      </c>
      <c r="D170" s="1">
        <v>2496</v>
      </c>
      <c r="E170" s="1">
        <v>19.190000000000001</v>
      </c>
      <c r="F170" s="1">
        <v>12.8</v>
      </c>
      <c r="G170" s="1">
        <v>2344</v>
      </c>
      <c r="H170" s="1">
        <v>18.784600000000001</v>
      </c>
      <c r="I170" s="1">
        <v>13.234999999999998</v>
      </c>
      <c r="J170" s="1">
        <v>18000</v>
      </c>
      <c r="K170" s="1">
        <v>18360</v>
      </c>
      <c r="L170" s="5">
        <f t="shared" si="16"/>
        <v>15949.440000000002</v>
      </c>
      <c r="M170" s="5">
        <f t="shared" si="17"/>
        <v>13008.262400000009</v>
      </c>
      <c r="N170" s="5">
        <f t="shared" si="18"/>
        <v>-950.25760000000048</v>
      </c>
      <c r="O170" s="5">
        <f t="shared" si="19"/>
        <v>-1019.6399999999928</v>
      </c>
      <c r="P170" s="1"/>
    </row>
    <row r="171" spans="1:16" ht="13.4" customHeight="1">
      <c r="A171" s="1"/>
      <c r="B171" s="1"/>
      <c r="C171" s="1" t="s">
        <v>264</v>
      </c>
      <c r="D171" s="1">
        <v>1924</v>
      </c>
      <c r="E171" s="1">
        <v>95.95</v>
      </c>
      <c r="F171" s="1">
        <v>67.2</v>
      </c>
      <c r="G171" s="1">
        <v>2036</v>
      </c>
      <c r="H171" s="1">
        <v>92.961500000000001</v>
      </c>
      <c r="I171" s="1">
        <v>67.848200000000006</v>
      </c>
      <c r="J171" s="1">
        <v>18000</v>
      </c>
      <c r="K171" s="1">
        <v>18360</v>
      </c>
      <c r="L171" s="5">
        <f t="shared" si="16"/>
        <v>55315</v>
      </c>
      <c r="M171" s="5">
        <f t="shared" si="17"/>
        <v>51130.678799999987</v>
      </c>
      <c r="N171" s="5">
        <f t="shared" si="18"/>
        <v>-6084.5860000000039</v>
      </c>
      <c r="O171" s="5">
        <f t="shared" si="19"/>
        <v>-1319.7352000000055</v>
      </c>
      <c r="P171" s="1"/>
    </row>
    <row r="172" spans="1:16" ht="13.4" customHeight="1">
      <c r="A172" s="1"/>
      <c r="B172" s="1"/>
      <c r="C172" s="1" t="s">
        <v>265</v>
      </c>
      <c r="D172" s="1">
        <v>2288</v>
      </c>
      <c r="E172" s="1">
        <v>44.44</v>
      </c>
      <c r="F172" s="1">
        <v>27.1</v>
      </c>
      <c r="G172" s="1">
        <v>2343</v>
      </c>
      <c r="H172" s="1">
        <v>43.993200000000002</v>
      </c>
      <c r="I172" s="1">
        <v>26.898900000000001</v>
      </c>
      <c r="J172" s="1">
        <v>18000</v>
      </c>
      <c r="K172" s="1">
        <v>18360</v>
      </c>
      <c r="L172" s="5">
        <f t="shared" si="16"/>
        <v>39673.919999999991</v>
      </c>
      <c r="M172" s="5">
        <f t="shared" si="17"/>
        <v>40051.944900000002</v>
      </c>
      <c r="N172" s="5">
        <f t="shared" si="18"/>
        <v>-1046.8523999999909</v>
      </c>
      <c r="O172" s="5">
        <f t="shared" si="19"/>
        <v>471.17730000000063</v>
      </c>
      <c r="P172" s="1"/>
    </row>
    <row r="173" spans="1:16" ht="13.4" customHeight="1">
      <c r="A173" s="1"/>
      <c r="B173" s="1"/>
      <c r="C173" s="1" t="s">
        <v>266</v>
      </c>
      <c r="D173" s="1">
        <v>2652</v>
      </c>
      <c r="E173" s="1">
        <v>19.190000000000001</v>
      </c>
      <c r="F173" s="1">
        <v>12.8</v>
      </c>
      <c r="G173" s="1">
        <v>2647</v>
      </c>
      <c r="H173" s="1">
        <v>19.560199999999998</v>
      </c>
      <c r="I173" s="1">
        <v>13.115500000000003</v>
      </c>
      <c r="J173" s="1">
        <v>18000</v>
      </c>
      <c r="K173" s="1">
        <v>18360</v>
      </c>
      <c r="L173" s="5">
        <f t="shared" si="16"/>
        <v>16946.280000000002</v>
      </c>
      <c r="M173" s="5">
        <f t="shared" si="17"/>
        <v>17059.120899999987</v>
      </c>
      <c r="N173" s="5">
        <f t="shared" si="18"/>
        <v>979.91939999999204</v>
      </c>
      <c r="O173" s="5">
        <f t="shared" si="19"/>
        <v>-835.12850000000503</v>
      </c>
      <c r="P173" s="1"/>
    </row>
    <row r="174" spans="1:16" ht="13.4" customHeight="1">
      <c r="A174" s="1"/>
      <c r="B174" s="1"/>
      <c r="C174" s="1" t="s">
        <v>267</v>
      </c>
      <c r="D174" s="1">
        <v>2080</v>
      </c>
      <c r="E174" s="1">
        <v>95.95</v>
      </c>
      <c r="F174" s="1">
        <v>67.2</v>
      </c>
      <c r="G174" s="1">
        <v>2197</v>
      </c>
      <c r="H174" s="1">
        <v>97.524000000000001</v>
      </c>
      <c r="I174" s="1">
        <v>69.89309999999999</v>
      </c>
      <c r="J174" s="1">
        <v>18000</v>
      </c>
      <c r="K174" s="1">
        <v>18360</v>
      </c>
      <c r="L174" s="5">
        <f t="shared" si="16"/>
        <v>59800</v>
      </c>
      <c r="M174" s="5">
        <f t="shared" si="17"/>
        <v>60705.087300000021</v>
      </c>
      <c r="N174" s="5">
        <f t="shared" si="18"/>
        <v>3458.0779999999959</v>
      </c>
      <c r="O174" s="5">
        <f t="shared" si="19"/>
        <v>-5916.7406999999712</v>
      </c>
      <c r="P174" s="1"/>
    </row>
    <row r="175" spans="1:16" ht="13.4" customHeight="1">
      <c r="A175" s="1"/>
      <c r="B175" s="1"/>
      <c r="C175" s="1" t="s">
        <v>268</v>
      </c>
      <c r="D175" s="1">
        <v>2444</v>
      </c>
      <c r="E175" s="1">
        <v>44.44</v>
      </c>
      <c r="F175" s="1">
        <v>27.1</v>
      </c>
      <c r="G175" s="1">
        <v>2419</v>
      </c>
      <c r="H175" s="1">
        <v>42.900300000000001</v>
      </c>
      <c r="I175" s="1">
        <v>27.232799999999997</v>
      </c>
      <c r="J175" s="1">
        <v>18000</v>
      </c>
      <c r="K175" s="1">
        <v>18360</v>
      </c>
      <c r="L175" s="5">
        <f t="shared" si="16"/>
        <v>42378.959999999992</v>
      </c>
      <c r="M175" s="5">
        <f t="shared" si="17"/>
        <v>37899.68250000001</v>
      </c>
      <c r="N175" s="5">
        <f t="shared" si="18"/>
        <v>-3724.5342999999912</v>
      </c>
      <c r="O175" s="5">
        <f t="shared" si="19"/>
        <v>-321.2431999999904</v>
      </c>
      <c r="P175" s="1"/>
    </row>
    <row r="176" spans="1:16" ht="13.4" customHeight="1">
      <c r="A176" s="1"/>
      <c r="B176" s="1"/>
      <c r="C176" s="1" t="s">
        <v>269</v>
      </c>
      <c r="D176" s="1">
        <v>2808</v>
      </c>
      <c r="E176" s="1">
        <v>19.190000000000001</v>
      </c>
      <c r="F176" s="1">
        <v>12.8</v>
      </c>
      <c r="G176" s="1">
        <v>3000</v>
      </c>
      <c r="H176" s="1">
        <v>19.501000000000001</v>
      </c>
      <c r="I176" s="1">
        <v>13.517300000000001</v>
      </c>
      <c r="J176" s="1">
        <v>18000</v>
      </c>
      <c r="K176" s="1">
        <v>18360</v>
      </c>
      <c r="L176" s="5">
        <f t="shared" si="16"/>
        <v>17943.120000000003</v>
      </c>
      <c r="M176" s="5">
        <f t="shared" si="17"/>
        <v>17951.100000000002</v>
      </c>
      <c r="N176" s="5">
        <f t="shared" si="18"/>
        <v>932.99999999999977</v>
      </c>
      <c r="O176" s="5">
        <f t="shared" si="19"/>
        <v>-2151.8999999999996</v>
      </c>
      <c r="P176" s="1"/>
    </row>
    <row r="177" spans="1:16" ht="13.4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</row>
    <row r="178" spans="1:16" ht="13.4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</row>
    <row r="179" spans="1:16" ht="13.4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</row>
    <row r="180" spans="1:16" ht="13.4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</row>
    <row r="181" spans="1:16" ht="13.4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</row>
    <row r="182" spans="1:16" ht="13.4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</row>
    <row r="183" spans="1:16" ht="13.4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</row>
    <row r="184" spans="1:16" ht="13.4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</row>
    <row r="185" spans="1:16" ht="13.4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</row>
    <row r="186" spans="1:16" ht="13.4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</row>
    <row r="187" spans="1:16" ht="13.4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</row>
    <row r="188" spans="1:16" ht="13.4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</row>
    <row r="189" spans="1:16" ht="13.4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</row>
    <row r="190" spans="1:16" ht="13.4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70"/>
  <sheetViews>
    <sheetView showGridLines="0" workbookViewId="0"/>
  </sheetViews>
  <sheetFormatPr defaultRowHeight="14"/>
  <cols>
    <col min="1" max="2" width="2" customWidth="1"/>
    <col min="3" max="3" width="31" customWidth="1"/>
    <col min="4" max="12" width="14" customWidth="1"/>
  </cols>
  <sheetData>
    <row r="1" spans="1:12" ht="13.4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13.4" customHeight="1">
      <c r="A2" s="1"/>
      <c r="B2" s="1"/>
      <c r="C2" s="2" t="s">
        <v>270</v>
      </c>
      <c r="D2" s="1"/>
      <c r="E2" s="1"/>
      <c r="F2" s="1"/>
      <c r="G2" s="1"/>
      <c r="H2" s="1"/>
      <c r="I2" s="1"/>
      <c r="J2" s="1"/>
      <c r="K2" s="1"/>
      <c r="L2" s="1"/>
    </row>
    <row r="3" spans="1:12" ht="13.4" customHeight="1">
      <c r="A3" s="1"/>
      <c r="B3" s="1"/>
      <c r="C3" s="1" t="s">
        <v>271</v>
      </c>
      <c r="D3" s="1"/>
      <c r="E3" s="1"/>
      <c r="F3" s="1"/>
      <c r="G3" s="1"/>
      <c r="H3" s="1"/>
      <c r="I3" s="1"/>
      <c r="J3" s="1"/>
      <c r="K3" s="1"/>
      <c r="L3" s="1"/>
    </row>
    <row r="4" spans="1:12" ht="16" customHeight="1">
      <c r="A4" s="1"/>
      <c r="B4" s="1"/>
      <c r="C4" s="4" t="s">
        <v>13</v>
      </c>
      <c r="D4" s="4" t="s">
        <v>272</v>
      </c>
      <c r="E4" s="4" t="s">
        <v>273</v>
      </c>
      <c r="F4" s="4" t="s">
        <v>56</v>
      </c>
      <c r="G4" s="4" t="s">
        <v>14</v>
      </c>
      <c r="H4" s="4" t="s">
        <v>60</v>
      </c>
      <c r="I4" s="4" t="s">
        <v>61</v>
      </c>
      <c r="J4" s="4" t="s">
        <v>62</v>
      </c>
      <c r="K4" s="4" t="s">
        <v>15</v>
      </c>
      <c r="L4" s="1"/>
    </row>
    <row r="5" spans="1:12" ht="13.4" customHeight="1">
      <c r="A5" s="1"/>
      <c r="B5" s="1"/>
      <c r="C5" s="1" t="s">
        <v>16</v>
      </c>
      <c r="D5" s="1" t="s">
        <v>274</v>
      </c>
      <c r="E5" s="1" t="s">
        <v>275</v>
      </c>
      <c r="F5" s="1">
        <v>1526</v>
      </c>
      <c r="G5" s="10">
        <v>141797.7512</v>
      </c>
      <c r="H5" s="10">
        <v>104388.4716</v>
      </c>
      <c r="I5" s="10">
        <v>96310.743199999997</v>
      </c>
      <c r="J5" s="10">
        <v>18450</v>
      </c>
      <c r="K5" s="10">
        <v>18959.279599999994</v>
      </c>
      <c r="L5" s="1"/>
    </row>
    <row r="6" spans="1:12" ht="13.4" customHeight="1">
      <c r="A6" s="1"/>
      <c r="B6" s="1"/>
      <c r="C6" s="1" t="s">
        <v>16</v>
      </c>
      <c r="D6" s="1" t="s">
        <v>274</v>
      </c>
      <c r="E6" s="1" t="s">
        <v>276</v>
      </c>
      <c r="F6" s="1">
        <v>2351</v>
      </c>
      <c r="G6" s="10">
        <v>43696.391300000003</v>
      </c>
      <c r="H6" s="10">
        <v>30847.706099999999</v>
      </c>
      <c r="I6" s="10">
        <v>24099.865899999997</v>
      </c>
      <c r="J6" s="10">
        <v>18450</v>
      </c>
      <c r="K6" s="10">
        <v>-5601.3147999999965</v>
      </c>
      <c r="L6" s="1"/>
    </row>
    <row r="7" spans="1:12" ht="13.4" customHeight="1">
      <c r="A7" s="1"/>
      <c r="B7" s="1"/>
      <c r="C7" s="1" t="s">
        <v>16</v>
      </c>
      <c r="D7" s="1" t="s">
        <v>274</v>
      </c>
      <c r="E7" s="1" t="s">
        <v>277</v>
      </c>
      <c r="F7" s="1">
        <v>1813</v>
      </c>
      <c r="G7" s="10">
        <v>77931.623700000011</v>
      </c>
      <c r="H7" s="10">
        <v>50618.053500000002</v>
      </c>
      <c r="I7" s="10">
        <v>42959.941500000001</v>
      </c>
      <c r="J7" s="10">
        <v>18450</v>
      </c>
      <c r="K7" s="10">
        <v>8863.5702000000092</v>
      </c>
      <c r="L7" s="1"/>
    </row>
    <row r="8" spans="1:12" ht="13.4" customHeight="1">
      <c r="A8" s="1"/>
      <c r="B8" s="1"/>
      <c r="C8" s="1" t="s">
        <v>16</v>
      </c>
      <c r="D8" s="1" t="s">
        <v>278</v>
      </c>
      <c r="E8" s="1" t="s">
        <v>275</v>
      </c>
      <c r="F8" s="1">
        <v>1598</v>
      </c>
      <c r="G8" s="10">
        <v>146724.52479999998</v>
      </c>
      <c r="H8" s="10">
        <v>107211.41799999999</v>
      </c>
      <c r="I8" s="10">
        <v>98915.241200000004</v>
      </c>
      <c r="J8" s="10">
        <v>18450</v>
      </c>
      <c r="K8" s="10">
        <v>21063.106799999994</v>
      </c>
      <c r="L8" s="1"/>
    </row>
    <row r="9" spans="1:12" ht="13.4" customHeight="1">
      <c r="A9" s="1"/>
      <c r="B9" s="1"/>
      <c r="C9" s="1" t="s">
        <v>16</v>
      </c>
      <c r="D9" s="1" t="s">
        <v>278</v>
      </c>
      <c r="E9" s="1" t="s">
        <v>276</v>
      </c>
      <c r="F9" s="1">
        <v>2370</v>
      </c>
      <c r="G9" s="10">
        <v>43688.817000000003</v>
      </c>
      <c r="H9" s="10">
        <v>30665.666999999998</v>
      </c>
      <c r="I9" s="10">
        <v>23957.381999999998</v>
      </c>
      <c r="J9" s="10">
        <v>18450</v>
      </c>
      <c r="K9" s="10">
        <v>-5426.8499999999949</v>
      </c>
      <c r="L9" s="1"/>
    </row>
    <row r="10" spans="1:12" ht="13.4" customHeight="1">
      <c r="A10" s="1"/>
      <c r="B10" s="1"/>
      <c r="C10" s="1" t="s">
        <v>16</v>
      </c>
      <c r="D10" s="1" t="s">
        <v>278</v>
      </c>
      <c r="E10" s="1" t="s">
        <v>277</v>
      </c>
      <c r="F10" s="1">
        <v>1765</v>
      </c>
      <c r="G10" s="10">
        <v>78373.589500000002</v>
      </c>
      <c r="H10" s="10">
        <v>49386.994500000001</v>
      </c>
      <c r="I10" s="10">
        <v>41915.0435</v>
      </c>
      <c r="J10" s="10">
        <v>18450</v>
      </c>
      <c r="K10" s="10">
        <v>10536.595000000001</v>
      </c>
      <c r="L10" s="1"/>
    </row>
    <row r="11" spans="1:12" ht="13.4" customHeight="1">
      <c r="A11" s="1"/>
      <c r="B11" s="1"/>
      <c r="C11" s="1" t="s">
        <v>16</v>
      </c>
      <c r="D11" s="1" t="s">
        <v>279</v>
      </c>
      <c r="E11" s="1" t="s">
        <v>275</v>
      </c>
      <c r="F11" s="1">
        <v>1944</v>
      </c>
      <c r="G11" s="10">
        <v>178288.128</v>
      </c>
      <c r="H11" s="10">
        <v>136318.72319999998</v>
      </c>
      <c r="I11" s="10">
        <v>125770.38480000001</v>
      </c>
      <c r="J11" s="10">
        <v>18450</v>
      </c>
      <c r="K11" s="10">
        <v>23519.404800000018</v>
      </c>
      <c r="L11" s="1"/>
    </row>
    <row r="12" spans="1:12" ht="13.4" customHeight="1">
      <c r="A12" s="1"/>
      <c r="B12" s="1"/>
      <c r="C12" s="1" t="s">
        <v>16</v>
      </c>
      <c r="D12" s="1" t="s">
        <v>279</v>
      </c>
      <c r="E12" s="1" t="s">
        <v>276</v>
      </c>
      <c r="F12" s="1">
        <v>2700</v>
      </c>
      <c r="G12" s="10">
        <v>50540.49</v>
      </c>
      <c r="H12" s="10">
        <v>33968.43</v>
      </c>
      <c r="I12" s="10">
        <v>26537.759999999998</v>
      </c>
      <c r="J12" s="10">
        <v>18450</v>
      </c>
      <c r="K12" s="10">
        <v>-1877.9400000000023</v>
      </c>
      <c r="L12" s="1"/>
    </row>
    <row r="13" spans="1:12" ht="13.4" customHeight="1">
      <c r="A13" s="1"/>
      <c r="B13" s="1"/>
      <c r="C13" s="1" t="s">
        <v>16</v>
      </c>
      <c r="D13" s="1" t="s">
        <v>279</v>
      </c>
      <c r="E13" s="1" t="s">
        <v>277</v>
      </c>
      <c r="F13" s="1">
        <v>2235</v>
      </c>
      <c r="G13" s="10">
        <v>96905.800500000012</v>
      </c>
      <c r="H13" s="10">
        <v>59854.641000000003</v>
      </c>
      <c r="I13" s="10">
        <v>50799.315000000002</v>
      </c>
      <c r="J13" s="10">
        <v>18450</v>
      </c>
      <c r="K13" s="10">
        <v>18601.159500000009</v>
      </c>
      <c r="L13" s="1"/>
    </row>
    <row r="14" spans="1:12" ht="13.4" customHeight="1">
      <c r="A14" s="1"/>
      <c r="B14" s="1"/>
      <c r="C14" s="1" t="s">
        <v>17</v>
      </c>
      <c r="D14" s="1" t="s">
        <v>274</v>
      </c>
      <c r="E14" s="1" t="s">
        <v>275</v>
      </c>
      <c r="F14" s="1">
        <v>1805</v>
      </c>
      <c r="G14" s="10">
        <v>171837.08300000001</v>
      </c>
      <c r="H14" s="10">
        <v>127147.9905</v>
      </c>
      <c r="I14" s="10">
        <v>117309.11600000001</v>
      </c>
      <c r="J14" s="10">
        <v>18540</v>
      </c>
      <c r="K14" s="10">
        <v>26149.092500000013</v>
      </c>
      <c r="L14" s="1"/>
    </row>
    <row r="15" spans="1:12" ht="13.4" customHeight="1">
      <c r="A15" s="1"/>
      <c r="B15" s="1"/>
      <c r="C15" s="1" t="s">
        <v>17</v>
      </c>
      <c r="D15" s="1" t="s">
        <v>274</v>
      </c>
      <c r="E15" s="1" t="s">
        <v>276</v>
      </c>
      <c r="F15" s="1">
        <v>2198</v>
      </c>
      <c r="G15" s="10">
        <v>41025.450199999999</v>
      </c>
      <c r="H15" s="10">
        <v>27621.826399999998</v>
      </c>
      <c r="I15" s="10">
        <v>21579.524400000002</v>
      </c>
      <c r="J15" s="10">
        <v>18540</v>
      </c>
      <c r="K15" s="10">
        <v>-5136.3761999999988</v>
      </c>
      <c r="L15" s="1"/>
    </row>
    <row r="16" spans="1:12" ht="13.4" customHeight="1">
      <c r="A16" s="1"/>
      <c r="B16" s="1"/>
      <c r="C16" s="1" t="s">
        <v>17</v>
      </c>
      <c r="D16" s="1" t="s">
        <v>274</v>
      </c>
      <c r="E16" s="1" t="s">
        <v>277</v>
      </c>
      <c r="F16" s="1">
        <v>2042</v>
      </c>
      <c r="G16" s="10">
        <v>90501.644199999995</v>
      </c>
      <c r="H16" s="10">
        <v>54170.3802</v>
      </c>
      <c r="I16" s="10">
        <v>45974.813199999997</v>
      </c>
      <c r="J16" s="10">
        <v>18540</v>
      </c>
      <c r="K16" s="10">
        <v>17791.263999999996</v>
      </c>
      <c r="L16" s="1"/>
    </row>
    <row r="17" spans="1:12" ht="13.4" customHeight="1">
      <c r="A17" s="1"/>
      <c r="B17" s="1"/>
      <c r="C17" s="1" t="s">
        <v>17</v>
      </c>
      <c r="D17" s="1" t="s">
        <v>278</v>
      </c>
      <c r="E17" s="1" t="s">
        <v>275</v>
      </c>
      <c r="F17" s="1">
        <v>1423</v>
      </c>
      <c r="G17" s="10">
        <v>137327.61110000001</v>
      </c>
      <c r="H17" s="10">
        <v>98142.175499999998</v>
      </c>
      <c r="I17" s="10">
        <v>90547.766799999998</v>
      </c>
      <c r="J17" s="10">
        <v>18540</v>
      </c>
      <c r="K17" s="10">
        <v>20645.435600000012</v>
      </c>
      <c r="L17" s="1"/>
    </row>
    <row r="18" spans="1:12" ht="13.4" customHeight="1">
      <c r="A18" s="1"/>
      <c r="B18" s="1"/>
      <c r="C18" s="1" t="s">
        <v>17</v>
      </c>
      <c r="D18" s="1" t="s">
        <v>278</v>
      </c>
      <c r="E18" s="1" t="s">
        <v>276</v>
      </c>
      <c r="F18" s="1">
        <v>2407</v>
      </c>
      <c r="G18" s="10">
        <v>45170.965499999998</v>
      </c>
      <c r="H18" s="10">
        <v>31485.004199999999</v>
      </c>
      <c r="I18" s="10">
        <v>24597.614400000002</v>
      </c>
      <c r="J18" s="10">
        <v>18540</v>
      </c>
      <c r="K18" s="10">
        <v>-4854.038700000001</v>
      </c>
      <c r="L18" s="1"/>
    </row>
    <row r="19" spans="1:12" ht="13.4" customHeight="1">
      <c r="A19" s="1"/>
      <c r="B19" s="1"/>
      <c r="C19" s="1" t="s">
        <v>17</v>
      </c>
      <c r="D19" s="1" t="s">
        <v>278</v>
      </c>
      <c r="E19" s="1" t="s">
        <v>277</v>
      </c>
      <c r="F19" s="1">
        <v>1992</v>
      </c>
      <c r="G19" s="10">
        <v>88417.907999999996</v>
      </c>
      <c r="H19" s="10">
        <v>55094.138399999996</v>
      </c>
      <c r="I19" s="10">
        <v>46758.813599999994</v>
      </c>
      <c r="J19" s="10">
        <v>18540</v>
      </c>
      <c r="K19" s="10">
        <v>14783.7696</v>
      </c>
      <c r="L19" s="1"/>
    </row>
    <row r="20" spans="1:12" ht="13.4" customHeight="1">
      <c r="A20" s="1"/>
      <c r="B20" s="1"/>
      <c r="C20" s="1" t="s">
        <v>17</v>
      </c>
      <c r="D20" s="1" t="s">
        <v>279</v>
      </c>
      <c r="E20" s="1" t="s">
        <v>275</v>
      </c>
      <c r="F20" s="1">
        <v>1726</v>
      </c>
      <c r="G20" s="10">
        <v>159224.70819999999</v>
      </c>
      <c r="H20" s="10">
        <v>115828.0628</v>
      </c>
      <c r="I20" s="10">
        <v>106865.1174</v>
      </c>
      <c r="J20" s="10">
        <v>18540</v>
      </c>
      <c r="K20" s="10">
        <v>24856.645399999994</v>
      </c>
      <c r="L20" s="1"/>
    </row>
    <row r="21" spans="1:12" ht="13.4" customHeight="1">
      <c r="A21" s="1"/>
      <c r="B21" s="1"/>
      <c r="C21" s="1" t="s">
        <v>17</v>
      </c>
      <c r="D21" s="1" t="s">
        <v>279</v>
      </c>
      <c r="E21" s="1" t="s">
        <v>276</v>
      </c>
      <c r="F21" s="1">
        <v>2318</v>
      </c>
      <c r="G21" s="10">
        <v>43206.129199999996</v>
      </c>
      <c r="H21" s="10">
        <v>31290.913800000002</v>
      </c>
      <c r="I21" s="10">
        <v>24446.091600000003</v>
      </c>
      <c r="J21" s="10">
        <v>18540</v>
      </c>
      <c r="K21" s="10">
        <v>-6624.7846000000063</v>
      </c>
      <c r="L21" s="1"/>
    </row>
    <row r="22" spans="1:12" ht="13.4" customHeight="1">
      <c r="A22" s="1"/>
      <c r="B22" s="1"/>
      <c r="C22" s="1" t="s">
        <v>17</v>
      </c>
      <c r="D22" s="1" t="s">
        <v>279</v>
      </c>
      <c r="E22" s="1" t="s">
        <v>277</v>
      </c>
      <c r="F22" s="1">
        <v>2207</v>
      </c>
      <c r="G22" s="10">
        <v>95835.002400000012</v>
      </c>
      <c r="H22" s="10">
        <v>60196.366400000006</v>
      </c>
      <c r="I22" s="10">
        <v>51089.180899999999</v>
      </c>
      <c r="J22" s="10">
        <v>18540</v>
      </c>
      <c r="K22" s="10">
        <v>17098.636000000006</v>
      </c>
      <c r="L22" s="1"/>
    </row>
    <row r="23" spans="1:12" ht="13.4" customHeight="1">
      <c r="A23" s="1"/>
      <c r="B23" s="1"/>
      <c r="C23" s="1" t="s">
        <v>18</v>
      </c>
      <c r="D23" s="1" t="s">
        <v>274</v>
      </c>
      <c r="E23" s="1" t="s">
        <v>275</v>
      </c>
      <c r="F23" s="1">
        <v>1949</v>
      </c>
      <c r="G23" s="10">
        <v>188038.1557</v>
      </c>
      <c r="H23" s="10">
        <v>136337.42250000002</v>
      </c>
      <c r="I23" s="10">
        <v>125787.48550000001</v>
      </c>
      <c r="J23" s="10">
        <v>18360</v>
      </c>
      <c r="K23" s="10">
        <v>33340.733199999988</v>
      </c>
      <c r="L23" s="1"/>
    </row>
    <row r="24" spans="1:12" ht="13.4" customHeight="1">
      <c r="A24" s="1"/>
      <c r="B24" s="1"/>
      <c r="C24" s="1" t="s">
        <v>18</v>
      </c>
      <c r="D24" s="1" t="s">
        <v>274</v>
      </c>
      <c r="E24" s="1" t="s">
        <v>276</v>
      </c>
      <c r="F24" s="1">
        <v>2464</v>
      </c>
      <c r="G24" s="10">
        <v>45770.032000000007</v>
      </c>
      <c r="H24" s="10">
        <v>33278.537599999996</v>
      </c>
      <c r="I24" s="10">
        <v>25998.896000000004</v>
      </c>
      <c r="J24" s="10">
        <v>18360</v>
      </c>
      <c r="K24" s="10">
        <v>-5868.5055999999895</v>
      </c>
      <c r="L24" s="1"/>
    </row>
    <row r="25" spans="1:12" ht="13.4" customHeight="1">
      <c r="A25" s="1"/>
      <c r="B25" s="1"/>
      <c r="C25" s="1" t="s">
        <v>18</v>
      </c>
      <c r="D25" s="1" t="s">
        <v>274</v>
      </c>
      <c r="E25" s="1" t="s">
        <v>277</v>
      </c>
      <c r="F25" s="1">
        <v>2108</v>
      </c>
      <c r="G25" s="10">
        <v>89684.227599999998</v>
      </c>
      <c r="H25" s="10">
        <v>57230.302799999998</v>
      </c>
      <c r="I25" s="10">
        <v>48571.903599999998</v>
      </c>
      <c r="J25" s="10">
        <v>18360</v>
      </c>
      <c r="K25" s="10">
        <v>14093.924800000001</v>
      </c>
      <c r="L25" s="1"/>
    </row>
    <row r="26" spans="1:12" ht="13.4" customHeight="1">
      <c r="A26" s="1"/>
      <c r="B26" s="1"/>
      <c r="C26" s="1" t="s">
        <v>18</v>
      </c>
      <c r="D26" s="1" t="s">
        <v>278</v>
      </c>
      <c r="E26" s="1" t="s">
        <v>275</v>
      </c>
      <c r="F26" s="1">
        <v>1778</v>
      </c>
      <c r="G26" s="10">
        <v>169171.36600000001</v>
      </c>
      <c r="H26" s="10">
        <v>118232.55500000001</v>
      </c>
      <c r="I26" s="10">
        <v>109083.67819999999</v>
      </c>
      <c r="J26" s="10">
        <v>18360</v>
      </c>
      <c r="K26" s="10">
        <v>32578.811000000002</v>
      </c>
      <c r="L26" s="1"/>
    </row>
    <row r="27" spans="1:12" ht="13.4" customHeight="1">
      <c r="A27" s="1"/>
      <c r="B27" s="1"/>
      <c r="C27" s="1" t="s">
        <v>18</v>
      </c>
      <c r="D27" s="1" t="s">
        <v>278</v>
      </c>
      <c r="E27" s="1" t="s">
        <v>276</v>
      </c>
      <c r="F27" s="1">
        <v>2683</v>
      </c>
      <c r="G27" s="10">
        <v>51150.321799999998</v>
      </c>
      <c r="H27" s="10">
        <v>35109.738000000005</v>
      </c>
      <c r="I27" s="10">
        <v>27429.3822</v>
      </c>
      <c r="J27" s="10">
        <v>18360</v>
      </c>
      <c r="K27" s="10">
        <v>-2319.4162000000069</v>
      </c>
      <c r="L27" s="1"/>
    </row>
    <row r="28" spans="1:12" ht="13.4" customHeight="1">
      <c r="A28" s="1"/>
      <c r="B28" s="1"/>
      <c r="C28" s="1" t="s">
        <v>18</v>
      </c>
      <c r="D28" s="1" t="s">
        <v>278</v>
      </c>
      <c r="E28" s="1" t="s">
        <v>277</v>
      </c>
      <c r="F28" s="1">
        <v>2179</v>
      </c>
      <c r="G28" s="10">
        <v>93460.3606</v>
      </c>
      <c r="H28" s="10">
        <v>59479.291400000002</v>
      </c>
      <c r="I28" s="10">
        <v>50480.457199999997</v>
      </c>
      <c r="J28" s="10">
        <v>18360</v>
      </c>
      <c r="K28" s="10">
        <v>15621.069199999998</v>
      </c>
      <c r="L28" s="1"/>
    </row>
    <row r="29" spans="1:12" ht="13.4" customHeight="1">
      <c r="A29" s="1"/>
      <c r="B29" s="1"/>
      <c r="C29" s="1" t="s">
        <v>18</v>
      </c>
      <c r="D29" s="1" t="s">
        <v>279</v>
      </c>
      <c r="E29" s="1" t="s">
        <v>275</v>
      </c>
      <c r="F29" s="1">
        <v>2188</v>
      </c>
      <c r="G29" s="10">
        <v>204509.51559999998</v>
      </c>
      <c r="H29" s="10">
        <v>151549.41320000001</v>
      </c>
      <c r="I29" s="10">
        <v>139822.38959999999</v>
      </c>
      <c r="J29" s="10">
        <v>18360</v>
      </c>
      <c r="K29" s="10">
        <v>34600.102399999974</v>
      </c>
      <c r="L29" s="1"/>
    </row>
    <row r="30" spans="1:12" ht="13.4" customHeight="1">
      <c r="A30" s="1"/>
      <c r="B30" s="1"/>
      <c r="C30" s="1" t="s">
        <v>18</v>
      </c>
      <c r="D30" s="1" t="s">
        <v>279</v>
      </c>
      <c r="E30" s="1" t="s">
        <v>276</v>
      </c>
      <c r="F30" s="1">
        <v>2607</v>
      </c>
      <c r="G30" s="10">
        <v>48532.433399999994</v>
      </c>
      <c r="H30" s="10">
        <v>34127.715599999996</v>
      </c>
      <c r="I30" s="10">
        <v>26662.310399999998</v>
      </c>
      <c r="J30" s="10">
        <v>18360</v>
      </c>
      <c r="K30" s="10">
        <v>-3955.2822000000015</v>
      </c>
      <c r="L30" s="1"/>
    </row>
    <row r="31" spans="1:12" ht="13.4" customHeight="1">
      <c r="A31" s="1"/>
      <c r="B31" s="1"/>
      <c r="C31" s="1" t="s">
        <v>18</v>
      </c>
      <c r="D31" s="1" t="s">
        <v>279</v>
      </c>
      <c r="E31" s="1" t="s">
        <v>277</v>
      </c>
      <c r="F31" s="1">
        <v>2334</v>
      </c>
      <c r="G31" s="10">
        <v>104736.8496</v>
      </c>
      <c r="H31" s="10">
        <v>64137.153000000006</v>
      </c>
      <c r="I31" s="10">
        <v>54433.7814</v>
      </c>
      <c r="J31" s="10">
        <v>18360</v>
      </c>
      <c r="K31" s="10">
        <v>22239.696599999996</v>
      </c>
      <c r="L31" s="1"/>
    </row>
    <row r="32" spans="1:12" ht="13.4" customHeight="1">
      <c r="A32" s="1"/>
      <c r="B32" s="1"/>
      <c r="C32" s="1" t="s">
        <v>19</v>
      </c>
      <c r="D32" s="1" t="s">
        <v>274</v>
      </c>
      <c r="E32" s="1" t="s">
        <v>275</v>
      </c>
      <c r="F32" s="1">
        <v>1726</v>
      </c>
      <c r="G32" s="10">
        <v>164403.91640000002</v>
      </c>
      <c r="H32" s="10">
        <v>120896.6344</v>
      </c>
      <c r="I32" s="10">
        <v>111541.54180000001</v>
      </c>
      <c r="J32" s="10">
        <v>18450</v>
      </c>
      <c r="K32" s="10">
        <v>25057.282000000021</v>
      </c>
      <c r="L32" s="1"/>
    </row>
    <row r="33" spans="1:12" ht="13.4" customHeight="1">
      <c r="A33" s="1"/>
      <c r="B33" s="1"/>
      <c r="C33" s="1" t="s">
        <v>19</v>
      </c>
      <c r="D33" s="1" t="s">
        <v>274</v>
      </c>
      <c r="E33" s="1" t="s">
        <v>276</v>
      </c>
      <c r="F33" s="1">
        <v>2854</v>
      </c>
      <c r="G33" s="10">
        <v>54049.62279999999</v>
      </c>
      <c r="H33" s="10">
        <v>38633.171000000002</v>
      </c>
      <c r="I33" s="10">
        <v>30182.191600000002</v>
      </c>
      <c r="J33" s="10">
        <v>18450</v>
      </c>
      <c r="K33" s="10">
        <v>-3033.548200000012</v>
      </c>
      <c r="L33" s="1"/>
    </row>
    <row r="34" spans="1:12" ht="13.4" customHeight="1">
      <c r="A34" s="1"/>
      <c r="B34" s="1"/>
      <c r="C34" s="1" t="s">
        <v>19</v>
      </c>
      <c r="D34" s="1" t="s">
        <v>274</v>
      </c>
      <c r="E34" s="1" t="s">
        <v>277</v>
      </c>
      <c r="F34" s="1">
        <v>2197</v>
      </c>
      <c r="G34" s="10">
        <v>93653.056899999996</v>
      </c>
      <c r="H34" s="10">
        <v>59981.6152</v>
      </c>
      <c r="I34" s="10">
        <v>50906.9067</v>
      </c>
      <c r="J34" s="10">
        <v>18450</v>
      </c>
      <c r="K34" s="10">
        <v>15221.441699999996</v>
      </c>
      <c r="L34" s="1"/>
    </row>
    <row r="35" spans="1:12" ht="13.4" customHeight="1">
      <c r="A35" s="1"/>
      <c r="B35" s="1"/>
      <c r="C35" s="1" t="s">
        <v>19</v>
      </c>
      <c r="D35" s="1" t="s">
        <v>278</v>
      </c>
      <c r="E35" s="1" t="s">
        <v>275</v>
      </c>
      <c r="F35" s="1">
        <v>1641</v>
      </c>
      <c r="G35" s="10">
        <v>155906.65109999999</v>
      </c>
      <c r="H35" s="10">
        <v>115934.02439999999</v>
      </c>
      <c r="I35" s="10">
        <v>106962.84149999999</v>
      </c>
      <c r="J35" s="10">
        <v>18450</v>
      </c>
      <c r="K35" s="10">
        <v>21522.626699999993</v>
      </c>
      <c r="L35" s="1"/>
    </row>
    <row r="36" spans="1:12" ht="13.4" customHeight="1">
      <c r="A36" s="1"/>
      <c r="B36" s="1"/>
      <c r="C36" s="1" t="s">
        <v>19</v>
      </c>
      <c r="D36" s="1" t="s">
        <v>278</v>
      </c>
      <c r="E36" s="1" t="s">
        <v>276</v>
      </c>
      <c r="F36" s="1">
        <v>2441</v>
      </c>
      <c r="G36" s="10">
        <v>45008.622600000002</v>
      </c>
      <c r="H36" s="10">
        <v>30588.903300000002</v>
      </c>
      <c r="I36" s="10">
        <v>23897.39</v>
      </c>
      <c r="J36" s="10">
        <v>18450</v>
      </c>
      <c r="K36" s="10">
        <v>-4030.2806999999993</v>
      </c>
      <c r="L36" s="1"/>
    </row>
    <row r="37" spans="1:12" ht="13.4" customHeight="1">
      <c r="A37" s="1"/>
      <c r="B37" s="1"/>
      <c r="C37" s="1" t="s">
        <v>19</v>
      </c>
      <c r="D37" s="1" t="s">
        <v>278</v>
      </c>
      <c r="E37" s="1" t="s">
        <v>277</v>
      </c>
      <c r="F37" s="1">
        <v>2037</v>
      </c>
      <c r="G37" s="10">
        <v>87670.442999999999</v>
      </c>
      <c r="H37" s="10">
        <v>58503.251100000001</v>
      </c>
      <c r="I37" s="10">
        <v>49652.282399999996</v>
      </c>
      <c r="J37" s="10">
        <v>18450</v>
      </c>
      <c r="K37" s="10">
        <v>10717.191899999998</v>
      </c>
      <c r="L37" s="1"/>
    </row>
    <row r="38" spans="1:12" ht="13.4" customHeight="1">
      <c r="A38" s="1"/>
      <c r="B38" s="1"/>
      <c r="C38" s="1" t="s">
        <v>19</v>
      </c>
      <c r="D38" s="1" t="s">
        <v>279</v>
      </c>
      <c r="E38" s="1" t="s">
        <v>275</v>
      </c>
      <c r="F38" s="1">
        <v>2182</v>
      </c>
      <c r="G38" s="10">
        <v>200177.55279999998</v>
      </c>
      <c r="H38" s="10">
        <v>151947.4976</v>
      </c>
      <c r="I38" s="10">
        <v>140189.5724</v>
      </c>
      <c r="J38" s="10">
        <v>18450</v>
      </c>
      <c r="K38" s="10">
        <v>29780.055199999973</v>
      </c>
      <c r="L38" s="1"/>
    </row>
    <row r="39" spans="1:12" ht="13.4" customHeight="1">
      <c r="A39" s="1"/>
      <c r="B39" s="1"/>
      <c r="C39" s="1" t="s">
        <v>19</v>
      </c>
      <c r="D39" s="1" t="s">
        <v>279</v>
      </c>
      <c r="E39" s="1" t="s">
        <v>276</v>
      </c>
      <c r="F39" s="1">
        <v>2820</v>
      </c>
      <c r="G39" s="10">
        <v>52063.404000000002</v>
      </c>
      <c r="H39" s="10">
        <v>36527.46</v>
      </c>
      <c r="I39" s="10">
        <v>28537.272000000004</v>
      </c>
      <c r="J39" s="10">
        <v>18450</v>
      </c>
      <c r="K39" s="10">
        <v>-2914.0559999999969</v>
      </c>
      <c r="L39" s="1"/>
    </row>
    <row r="40" spans="1:12" ht="13.4" customHeight="1">
      <c r="A40" s="1"/>
      <c r="B40" s="1"/>
      <c r="C40" s="1" t="s">
        <v>19</v>
      </c>
      <c r="D40" s="1" t="s">
        <v>279</v>
      </c>
      <c r="E40" s="1" t="s">
        <v>277</v>
      </c>
      <c r="F40" s="1">
        <v>2475</v>
      </c>
      <c r="G40" s="10">
        <v>108597.06</v>
      </c>
      <c r="H40" s="10">
        <v>66916.822499999995</v>
      </c>
      <c r="I40" s="10">
        <v>56792.834999999999</v>
      </c>
      <c r="J40" s="10">
        <v>18450</v>
      </c>
      <c r="K40" s="10">
        <v>23230.237500000003</v>
      </c>
      <c r="L40" s="1"/>
    </row>
    <row r="41" spans="1:12" ht="13.4" customHeight="1">
      <c r="A41" s="1"/>
      <c r="B41" s="1"/>
      <c r="C41" s="1" t="s">
        <v>20</v>
      </c>
      <c r="D41" s="1" t="s">
        <v>274</v>
      </c>
      <c r="E41" s="1" t="s">
        <v>275</v>
      </c>
      <c r="F41" s="1">
        <v>1932</v>
      </c>
      <c r="G41" s="10">
        <v>183822.26520000002</v>
      </c>
      <c r="H41" s="10">
        <v>128271.276</v>
      </c>
      <c r="I41" s="10">
        <v>118345.62599999999</v>
      </c>
      <c r="J41" s="10">
        <v>18540</v>
      </c>
      <c r="K41" s="10">
        <v>37010.989200000025</v>
      </c>
      <c r="L41" s="1"/>
    </row>
    <row r="42" spans="1:12" ht="13.4" customHeight="1">
      <c r="A42" s="1"/>
      <c r="B42" s="1"/>
      <c r="C42" s="1" t="s">
        <v>20</v>
      </c>
      <c r="D42" s="1" t="s">
        <v>274</v>
      </c>
      <c r="E42" s="1" t="s">
        <v>276</v>
      </c>
      <c r="F42" s="1">
        <v>2605</v>
      </c>
      <c r="G42" s="10">
        <v>47764.498500000002</v>
      </c>
      <c r="H42" s="10">
        <v>33429.183500000006</v>
      </c>
      <c r="I42" s="10">
        <v>26116.427499999998</v>
      </c>
      <c r="J42" s="10">
        <v>18540</v>
      </c>
      <c r="K42" s="10">
        <v>-4204.6850000000049</v>
      </c>
      <c r="L42" s="1"/>
    </row>
    <row r="43" spans="1:12" ht="13.4" customHeight="1">
      <c r="A43" s="1"/>
      <c r="B43" s="1"/>
      <c r="C43" s="1" t="s">
        <v>20</v>
      </c>
      <c r="D43" s="1" t="s">
        <v>274</v>
      </c>
      <c r="E43" s="1" t="s">
        <v>277</v>
      </c>
      <c r="F43" s="1">
        <v>2354</v>
      </c>
      <c r="G43" s="10">
        <v>103302.936</v>
      </c>
      <c r="H43" s="10">
        <v>66420.699399999998</v>
      </c>
      <c r="I43" s="10">
        <v>56371.708799999993</v>
      </c>
      <c r="J43" s="10">
        <v>18540</v>
      </c>
      <c r="K43" s="10">
        <v>18342.236600000004</v>
      </c>
      <c r="L43" s="1"/>
    </row>
    <row r="44" spans="1:12" ht="13.4" customHeight="1">
      <c r="A44" s="1"/>
      <c r="B44" s="1"/>
      <c r="C44" s="1" t="s">
        <v>20</v>
      </c>
      <c r="D44" s="1" t="s">
        <v>278</v>
      </c>
      <c r="E44" s="1" t="s">
        <v>275</v>
      </c>
      <c r="F44" s="1">
        <v>1709</v>
      </c>
      <c r="G44" s="10">
        <v>165964.0662</v>
      </c>
      <c r="H44" s="10">
        <v>120523.63610000002</v>
      </c>
      <c r="I44" s="10">
        <v>111197.28130000002</v>
      </c>
      <c r="J44" s="10">
        <v>18540</v>
      </c>
      <c r="K44" s="10">
        <v>26900.430099999983</v>
      </c>
      <c r="L44" s="1"/>
    </row>
    <row r="45" spans="1:12" ht="13.4" customHeight="1">
      <c r="A45" s="1"/>
      <c r="B45" s="1"/>
      <c r="C45" s="1" t="s">
        <v>20</v>
      </c>
      <c r="D45" s="1" t="s">
        <v>278</v>
      </c>
      <c r="E45" s="1" t="s">
        <v>276</v>
      </c>
      <c r="F45" s="1">
        <v>2644</v>
      </c>
      <c r="G45" s="10">
        <v>51101.645600000003</v>
      </c>
      <c r="H45" s="10">
        <v>33855.626800000005</v>
      </c>
      <c r="I45" s="10">
        <v>26449.782800000001</v>
      </c>
      <c r="J45" s="10">
        <v>18540</v>
      </c>
      <c r="K45" s="10">
        <v>-1293.981200000002</v>
      </c>
      <c r="L45" s="1"/>
    </row>
    <row r="46" spans="1:12" ht="13.4" customHeight="1">
      <c r="A46" s="1"/>
      <c r="B46" s="1"/>
      <c r="C46" s="1" t="s">
        <v>20</v>
      </c>
      <c r="D46" s="1" t="s">
        <v>278</v>
      </c>
      <c r="E46" s="1" t="s">
        <v>277</v>
      </c>
      <c r="F46" s="1">
        <v>1979</v>
      </c>
      <c r="G46" s="10">
        <v>86643.588500000013</v>
      </c>
      <c r="H46" s="10">
        <v>53104.485999999997</v>
      </c>
      <c r="I46" s="10">
        <v>45070.339699999997</v>
      </c>
      <c r="J46" s="10">
        <v>18540</v>
      </c>
      <c r="K46" s="10">
        <v>14999.102500000015</v>
      </c>
      <c r="L46" s="1"/>
    </row>
    <row r="47" spans="1:12" ht="13.4" customHeight="1">
      <c r="A47" s="1"/>
      <c r="B47" s="1"/>
      <c r="C47" s="1" t="s">
        <v>20</v>
      </c>
      <c r="D47" s="1" t="s">
        <v>279</v>
      </c>
      <c r="E47" s="1" t="s">
        <v>275</v>
      </c>
      <c r="F47" s="1">
        <v>1828</v>
      </c>
      <c r="G47" s="10">
        <v>177262.8052</v>
      </c>
      <c r="H47" s="10">
        <v>128945.8404</v>
      </c>
      <c r="I47" s="10">
        <v>118967.88519999999</v>
      </c>
      <c r="J47" s="10">
        <v>18540</v>
      </c>
      <c r="K47" s="10">
        <v>29776.964800000002</v>
      </c>
      <c r="L47" s="1"/>
    </row>
    <row r="48" spans="1:12" ht="13.4" customHeight="1">
      <c r="A48" s="1"/>
      <c r="B48" s="1"/>
      <c r="C48" s="1" t="s">
        <v>20</v>
      </c>
      <c r="D48" s="1" t="s">
        <v>279</v>
      </c>
      <c r="E48" s="1" t="s">
        <v>276</v>
      </c>
      <c r="F48" s="1">
        <v>2955</v>
      </c>
      <c r="G48" s="10">
        <v>57369.847500000003</v>
      </c>
      <c r="H48" s="10">
        <v>37153.805999999997</v>
      </c>
      <c r="I48" s="10">
        <v>29026.374000000003</v>
      </c>
      <c r="J48" s="10">
        <v>18540</v>
      </c>
      <c r="K48" s="10">
        <v>1676.0415000000066</v>
      </c>
      <c r="L48" s="1"/>
    </row>
    <row r="49" spans="1:12" ht="13.4" customHeight="1">
      <c r="A49" s="1"/>
      <c r="B49" s="1"/>
      <c r="C49" s="1" t="s">
        <v>20</v>
      </c>
      <c r="D49" s="1" t="s">
        <v>279</v>
      </c>
      <c r="E49" s="1" t="s">
        <v>277</v>
      </c>
      <c r="F49" s="1">
        <v>2549</v>
      </c>
      <c r="G49" s="10">
        <v>110299.81819999999</v>
      </c>
      <c r="H49" s="10">
        <v>67690.989100000006</v>
      </c>
      <c r="I49" s="10">
        <v>57449.871800000001</v>
      </c>
      <c r="J49" s="10">
        <v>18540</v>
      </c>
      <c r="K49" s="10">
        <v>24068.829099999988</v>
      </c>
      <c r="L49" s="1"/>
    </row>
    <row r="50" spans="1:12" ht="13.4" customHeight="1">
      <c r="A50" s="1"/>
      <c r="B50" s="1"/>
      <c r="C50" s="1" t="s">
        <v>21</v>
      </c>
      <c r="D50" s="1" t="s">
        <v>274</v>
      </c>
      <c r="E50" s="1" t="s">
        <v>275</v>
      </c>
      <c r="F50" s="1">
        <v>1848</v>
      </c>
      <c r="G50" s="10">
        <v>171646.30559999999</v>
      </c>
      <c r="H50" s="10">
        <v>126773.724</v>
      </c>
      <c r="I50" s="10">
        <v>116963.8008</v>
      </c>
      <c r="J50" s="10">
        <v>18360</v>
      </c>
      <c r="K50" s="10">
        <v>26512.58159999999</v>
      </c>
      <c r="L50" s="1"/>
    </row>
    <row r="51" spans="1:12" ht="13.4" customHeight="1">
      <c r="A51" s="1"/>
      <c r="B51" s="1"/>
      <c r="C51" s="1" t="s">
        <v>21</v>
      </c>
      <c r="D51" s="1" t="s">
        <v>274</v>
      </c>
      <c r="E51" s="1" t="s">
        <v>276</v>
      </c>
      <c r="F51" s="1">
        <v>2853</v>
      </c>
      <c r="G51" s="10">
        <v>54423.542700000005</v>
      </c>
      <c r="H51" s="10">
        <v>36965.465100000001</v>
      </c>
      <c r="I51" s="10">
        <v>28879.207200000001</v>
      </c>
      <c r="J51" s="10">
        <v>18360</v>
      </c>
      <c r="K51" s="10">
        <v>-901.92239999999583</v>
      </c>
      <c r="L51" s="1"/>
    </row>
    <row r="52" spans="1:12" ht="13.4" customHeight="1">
      <c r="A52" s="1"/>
      <c r="B52" s="1"/>
      <c r="C52" s="1" t="s">
        <v>21</v>
      </c>
      <c r="D52" s="1" t="s">
        <v>274</v>
      </c>
      <c r="E52" s="1" t="s">
        <v>277</v>
      </c>
      <c r="F52" s="1">
        <v>2339</v>
      </c>
      <c r="G52" s="10">
        <v>100555.94900000001</v>
      </c>
      <c r="H52" s="10">
        <v>63481.629499999995</v>
      </c>
      <c r="I52" s="10">
        <v>53877.461600000002</v>
      </c>
      <c r="J52" s="10">
        <v>18360</v>
      </c>
      <c r="K52" s="10">
        <v>18714.319500000012</v>
      </c>
      <c r="L52" s="1"/>
    </row>
    <row r="53" spans="1:12" ht="13.4" customHeight="1">
      <c r="A53" s="1"/>
      <c r="B53" s="1"/>
      <c r="C53" s="1" t="s">
        <v>21</v>
      </c>
      <c r="D53" s="1" t="s">
        <v>278</v>
      </c>
      <c r="E53" s="1" t="s">
        <v>275</v>
      </c>
      <c r="F53" s="1">
        <v>1720</v>
      </c>
      <c r="G53" s="10">
        <v>158359.54</v>
      </c>
      <c r="H53" s="10">
        <v>120167.11199999999</v>
      </c>
      <c r="I53" s="10">
        <v>110868.44799999999</v>
      </c>
      <c r="J53" s="10">
        <v>18360</v>
      </c>
      <c r="K53" s="10">
        <v>19832.428000000014</v>
      </c>
      <c r="L53" s="1"/>
    </row>
    <row r="54" spans="1:12" ht="13.4" customHeight="1">
      <c r="A54" s="1"/>
      <c r="B54" s="1"/>
      <c r="C54" s="1" t="s">
        <v>21</v>
      </c>
      <c r="D54" s="1" t="s">
        <v>278</v>
      </c>
      <c r="E54" s="1" t="s">
        <v>276</v>
      </c>
      <c r="F54" s="1">
        <v>2461</v>
      </c>
      <c r="G54" s="10">
        <v>45866.1492</v>
      </c>
      <c r="H54" s="10">
        <v>33049.261200000001</v>
      </c>
      <c r="I54" s="10">
        <v>25819.827599999997</v>
      </c>
      <c r="J54" s="10">
        <v>18360</v>
      </c>
      <c r="K54" s="10">
        <v>-5543.112000000001</v>
      </c>
      <c r="L54" s="1"/>
    </row>
    <row r="55" spans="1:12" ht="13.4" customHeight="1">
      <c r="A55" s="1"/>
      <c r="B55" s="1"/>
      <c r="C55" s="1" t="s">
        <v>21</v>
      </c>
      <c r="D55" s="1" t="s">
        <v>278</v>
      </c>
      <c r="E55" s="1" t="s">
        <v>277</v>
      </c>
      <c r="F55" s="1">
        <v>2195</v>
      </c>
      <c r="G55" s="10">
        <v>93943.805000000008</v>
      </c>
      <c r="H55" s="10">
        <v>60400.473499999993</v>
      </c>
      <c r="I55" s="10">
        <v>51262.468999999997</v>
      </c>
      <c r="J55" s="10">
        <v>18360</v>
      </c>
      <c r="K55" s="10">
        <v>15183.331500000015</v>
      </c>
      <c r="L55" s="1"/>
    </row>
    <row r="56" spans="1:12" ht="13.4" customHeight="1">
      <c r="A56" s="1"/>
      <c r="B56" s="1"/>
      <c r="C56" s="1" t="s">
        <v>21</v>
      </c>
      <c r="D56" s="1" t="s">
        <v>279</v>
      </c>
      <c r="E56" s="1" t="s">
        <v>275</v>
      </c>
      <c r="F56" s="1">
        <v>2037</v>
      </c>
      <c r="G56" s="10">
        <v>188146.8939</v>
      </c>
      <c r="H56" s="10">
        <v>136078.72950000002</v>
      </c>
      <c r="I56" s="10">
        <v>125548.8654</v>
      </c>
      <c r="J56" s="10">
        <v>18360</v>
      </c>
      <c r="K56" s="10">
        <v>33708.16439999998</v>
      </c>
      <c r="L56" s="1"/>
    </row>
    <row r="57" spans="1:12" ht="13.4" customHeight="1">
      <c r="A57" s="1"/>
      <c r="B57" s="1"/>
      <c r="C57" s="1" t="s">
        <v>21</v>
      </c>
      <c r="D57" s="1" t="s">
        <v>279</v>
      </c>
      <c r="E57" s="1" t="s">
        <v>276</v>
      </c>
      <c r="F57" s="1">
        <v>2582</v>
      </c>
      <c r="G57" s="10">
        <v>47549.853799999997</v>
      </c>
      <c r="H57" s="10">
        <v>33996.161200000002</v>
      </c>
      <c r="I57" s="10">
        <v>26559.484799999998</v>
      </c>
      <c r="J57" s="10">
        <v>18360</v>
      </c>
      <c r="K57" s="10">
        <v>-4806.3074000000051</v>
      </c>
      <c r="L57" s="1"/>
    </row>
    <row r="58" spans="1:12" ht="13.4" customHeight="1">
      <c r="A58" s="1"/>
      <c r="B58" s="1"/>
      <c r="C58" s="1" t="s">
        <v>21</v>
      </c>
      <c r="D58" s="1" t="s">
        <v>279</v>
      </c>
      <c r="E58" s="1" t="s">
        <v>277</v>
      </c>
      <c r="F58" s="1">
        <v>2305</v>
      </c>
      <c r="G58" s="10">
        <v>101450.1955</v>
      </c>
      <c r="H58" s="10">
        <v>62125.743000000002</v>
      </c>
      <c r="I58" s="10">
        <v>52726.644500000002</v>
      </c>
      <c r="J58" s="10">
        <v>18360</v>
      </c>
      <c r="K58" s="10">
        <v>20964.452499999999</v>
      </c>
      <c r="L58" s="1"/>
    </row>
    <row r="59" spans="1:12" ht="13.4" customHeight="1">
      <c r="A59" s="1"/>
      <c r="B59" s="1"/>
      <c r="C59" s="1" t="s">
        <v>22</v>
      </c>
      <c r="D59" s="1" t="s">
        <v>274</v>
      </c>
      <c r="E59" s="1" t="s">
        <v>275</v>
      </c>
      <c r="F59" s="1">
        <v>1905</v>
      </c>
      <c r="G59" s="10">
        <v>179773.326</v>
      </c>
      <c r="H59" s="10">
        <v>133353.23850000001</v>
      </c>
      <c r="I59" s="10">
        <v>123034.23450000001</v>
      </c>
      <c r="J59" s="10">
        <v>18450</v>
      </c>
      <c r="K59" s="10">
        <v>27970.087499999994</v>
      </c>
      <c r="L59" s="1"/>
    </row>
    <row r="60" spans="1:12" ht="13.4" customHeight="1">
      <c r="A60" s="1"/>
      <c r="B60" s="1"/>
      <c r="C60" s="1" t="s">
        <v>22</v>
      </c>
      <c r="D60" s="1" t="s">
        <v>274</v>
      </c>
      <c r="E60" s="1" t="s">
        <v>276</v>
      </c>
      <c r="F60" s="1">
        <v>2551</v>
      </c>
      <c r="G60" s="10">
        <v>48004.462900000006</v>
      </c>
      <c r="H60" s="10">
        <v>33132.643100000001</v>
      </c>
      <c r="I60" s="10">
        <v>25884.997000000003</v>
      </c>
      <c r="J60" s="10">
        <v>18450</v>
      </c>
      <c r="K60" s="10">
        <v>-3578.1801999999952</v>
      </c>
      <c r="L60" s="1"/>
    </row>
    <row r="61" spans="1:12" ht="13.4" customHeight="1">
      <c r="A61" s="1"/>
      <c r="B61" s="1"/>
      <c r="C61" s="1" t="s">
        <v>22</v>
      </c>
      <c r="D61" s="1" t="s">
        <v>274</v>
      </c>
      <c r="E61" s="1" t="s">
        <v>277</v>
      </c>
      <c r="F61" s="1">
        <v>2375</v>
      </c>
      <c r="G61" s="10">
        <v>102036.41249999999</v>
      </c>
      <c r="H61" s="10">
        <v>63283.775000000009</v>
      </c>
      <c r="I61" s="10">
        <v>53709.4375</v>
      </c>
      <c r="J61" s="10">
        <v>18450</v>
      </c>
      <c r="K61" s="10">
        <v>20302.637499999983</v>
      </c>
      <c r="L61" s="1"/>
    </row>
    <row r="62" spans="1:12" ht="13.4" customHeight="1">
      <c r="A62" s="1"/>
      <c r="B62" s="1"/>
      <c r="C62" s="1" t="s">
        <v>22</v>
      </c>
      <c r="D62" s="1" t="s">
        <v>278</v>
      </c>
      <c r="E62" s="1" t="s">
        <v>275</v>
      </c>
      <c r="F62" s="1">
        <v>1629</v>
      </c>
      <c r="G62" s="10">
        <v>157745.68109999999</v>
      </c>
      <c r="H62" s="10">
        <v>114730.79579999999</v>
      </c>
      <c r="I62" s="10">
        <v>105852.9087</v>
      </c>
      <c r="J62" s="10">
        <v>18450</v>
      </c>
      <c r="K62" s="10">
        <v>24564.885299999994</v>
      </c>
      <c r="L62" s="1"/>
    </row>
    <row r="63" spans="1:12" ht="13.4" customHeight="1">
      <c r="A63" s="1"/>
      <c r="B63" s="1"/>
      <c r="C63" s="1" t="s">
        <v>22</v>
      </c>
      <c r="D63" s="1" t="s">
        <v>278</v>
      </c>
      <c r="E63" s="1" t="s">
        <v>276</v>
      </c>
      <c r="F63" s="1">
        <v>2292</v>
      </c>
      <c r="G63" s="10">
        <v>42369.453600000008</v>
      </c>
      <c r="H63" s="10">
        <v>30936.957600000002</v>
      </c>
      <c r="I63" s="10">
        <v>24169.598399999995</v>
      </c>
      <c r="J63" s="10">
        <v>18450</v>
      </c>
      <c r="K63" s="10">
        <v>-7017.5039999999935</v>
      </c>
      <c r="L63" s="1"/>
    </row>
    <row r="64" spans="1:12" ht="13.4" customHeight="1">
      <c r="A64" s="1"/>
      <c r="B64" s="1"/>
      <c r="C64" s="1" t="s">
        <v>22</v>
      </c>
      <c r="D64" s="1" t="s">
        <v>278</v>
      </c>
      <c r="E64" s="1" t="s">
        <v>277</v>
      </c>
      <c r="F64" s="1">
        <v>1896</v>
      </c>
      <c r="G64" s="10">
        <v>81695.416799999992</v>
      </c>
      <c r="H64" s="10">
        <v>53018.795999999995</v>
      </c>
      <c r="I64" s="10">
        <v>44997.578399999999</v>
      </c>
      <c r="J64" s="10">
        <v>18450</v>
      </c>
      <c r="K64" s="10">
        <v>10226.620799999997</v>
      </c>
      <c r="L64" s="1"/>
    </row>
    <row r="65" spans="1:12" ht="13.4" customHeight="1">
      <c r="A65" s="1"/>
      <c r="B65" s="1"/>
      <c r="C65" s="1" t="s">
        <v>22</v>
      </c>
      <c r="D65" s="1" t="s">
        <v>279</v>
      </c>
      <c r="E65" s="1" t="s">
        <v>275</v>
      </c>
      <c r="F65" s="1">
        <v>2126</v>
      </c>
      <c r="G65" s="10">
        <v>203061.0632</v>
      </c>
      <c r="H65" s="10">
        <v>151247.0416</v>
      </c>
      <c r="I65" s="10">
        <v>139543.41160000002</v>
      </c>
      <c r="J65" s="10">
        <v>18450</v>
      </c>
      <c r="K65" s="10">
        <v>33364.021600000007</v>
      </c>
      <c r="L65" s="1"/>
    </row>
    <row r="66" spans="1:12" ht="13.4" customHeight="1">
      <c r="A66" s="1"/>
      <c r="B66" s="1"/>
      <c r="C66" s="1" t="s">
        <v>22</v>
      </c>
      <c r="D66" s="1" t="s">
        <v>279</v>
      </c>
      <c r="E66" s="1" t="s">
        <v>276</v>
      </c>
      <c r="F66" s="1">
        <v>2946</v>
      </c>
      <c r="G66" s="10">
        <v>54850.101000000002</v>
      </c>
      <c r="H66" s="10">
        <v>37375.607400000001</v>
      </c>
      <c r="I66" s="10">
        <v>29199.868200000001</v>
      </c>
      <c r="J66" s="10">
        <v>18450</v>
      </c>
      <c r="K66" s="10">
        <v>-975.50639999999839</v>
      </c>
      <c r="L66" s="1"/>
    </row>
    <row r="67" spans="1:12" ht="13.4" customHeight="1">
      <c r="A67" s="1"/>
      <c r="B67" s="1"/>
      <c r="C67" s="1" t="s">
        <v>22</v>
      </c>
      <c r="D67" s="1" t="s">
        <v>279</v>
      </c>
      <c r="E67" s="1" t="s">
        <v>277</v>
      </c>
      <c r="F67" s="1">
        <v>2187</v>
      </c>
      <c r="G67" s="10">
        <v>95184.582300000009</v>
      </c>
      <c r="H67" s="10">
        <v>59495.366699999999</v>
      </c>
      <c r="I67" s="10">
        <v>50494.112099999998</v>
      </c>
      <c r="J67" s="10">
        <v>18450</v>
      </c>
      <c r="K67" s="10">
        <v>17239.21560000001</v>
      </c>
      <c r="L67" s="1"/>
    </row>
    <row r="68" spans="1:12" ht="13.4" customHeight="1">
      <c r="A68" s="1"/>
      <c r="B68" s="1"/>
      <c r="C68" s="1" t="s">
        <v>23</v>
      </c>
      <c r="D68" s="1" t="s">
        <v>274</v>
      </c>
      <c r="E68" s="1" t="s">
        <v>275</v>
      </c>
      <c r="F68" s="1">
        <v>2072</v>
      </c>
      <c r="G68" s="10">
        <v>199824.50879999998</v>
      </c>
      <c r="H68" s="10">
        <v>147225.75280000002</v>
      </c>
      <c r="I68" s="10">
        <v>135833.2752</v>
      </c>
      <c r="J68" s="10">
        <v>18540</v>
      </c>
      <c r="K68" s="10">
        <v>34058.755999999965</v>
      </c>
      <c r="L68" s="1"/>
    </row>
    <row r="69" spans="1:12" ht="13.4" customHeight="1">
      <c r="A69" s="1"/>
      <c r="B69" s="1"/>
      <c r="C69" s="1" t="s">
        <v>23</v>
      </c>
      <c r="D69" s="1" t="s">
        <v>274</v>
      </c>
      <c r="E69" s="1" t="s">
        <v>276</v>
      </c>
      <c r="F69" s="1">
        <v>2581</v>
      </c>
      <c r="G69" s="10">
        <v>47951.6247</v>
      </c>
      <c r="H69" s="10">
        <v>33336.970300000001</v>
      </c>
      <c r="I69" s="10">
        <v>26044.612899999996</v>
      </c>
      <c r="J69" s="10">
        <v>18540</v>
      </c>
      <c r="K69" s="10">
        <v>-3925.3456000000006</v>
      </c>
      <c r="L69" s="1"/>
    </row>
    <row r="70" spans="1:12" ht="13.4" customHeight="1">
      <c r="A70" s="1"/>
      <c r="B70" s="1"/>
      <c r="C70" s="1" t="s">
        <v>23</v>
      </c>
      <c r="D70" s="1" t="s">
        <v>274</v>
      </c>
      <c r="E70" s="1" t="s">
        <v>277</v>
      </c>
      <c r="F70" s="1">
        <v>2430</v>
      </c>
      <c r="G70" s="10">
        <v>108622.45800000001</v>
      </c>
      <c r="H70" s="10">
        <v>65137.607999999993</v>
      </c>
      <c r="I70" s="10">
        <v>55282.743000000002</v>
      </c>
      <c r="J70" s="10">
        <v>18540</v>
      </c>
      <c r="K70" s="10">
        <v>24944.85000000002</v>
      </c>
      <c r="L70" s="1"/>
    </row>
    <row r="71" spans="1:12" ht="13.4" customHeight="1">
      <c r="A71" s="1"/>
      <c r="B71" s="1"/>
      <c r="C71" s="1" t="s">
        <v>23</v>
      </c>
      <c r="D71" s="1" t="s">
        <v>278</v>
      </c>
      <c r="E71" s="1" t="s">
        <v>275</v>
      </c>
      <c r="F71" s="1">
        <v>1707</v>
      </c>
      <c r="G71" s="10">
        <v>160594.04790000001</v>
      </c>
      <c r="H71" s="10">
        <v>114558.47700000001</v>
      </c>
      <c r="I71" s="10">
        <v>105693.8553</v>
      </c>
      <c r="J71" s="10">
        <v>18540</v>
      </c>
      <c r="K71" s="10">
        <v>27495.570899999992</v>
      </c>
      <c r="L71" s="1"/>
    </row>
    <row r="72" spans="1:12" ht="13.4" customHeight="1">
      <c r="A72" s="1"/>
      <c r="B72" s="1"/>
      <c r="C72" s="1" t="s">
        <v>23</v>
      </c>
      <c r="D72" s="1" t="s">
        <v>278</v>
      </c>
      <c r="E72" s="1" t="s">
        <v>276</v>
      </c>
      <c r="F72" s="1">
        <v>2618</v>
      </c>
      <c r="G72" s="10">
        <v>49643.563199999997</v>
      </c>
      <c r="H72" s="10">
        <v>32816.629999999997</v>
      </c>
      <c r="I72" s="10">
        <v>25638.073999999997</v>
      </c>
      <c r="J72" s="10">
        <v>18540</v>
      </c>
      <c r="K72" s="10">
        <v>-1713.0668000000005</v>
      </c>
      <c r="L72" s="1"/>
    </row>
    <row r="73" spans="1:12" ht="13.4" customHeight="1">
      <c r="A73" s="1"/>
      <c r="B73" s="1"/>
      <c r="C73" s="1" t="s">
        <v>23</v>
      </c>
      <c r="D73" s="1" t="s">
        <v>278</v>
      </c>
      <c r="E73" s="1" t="s">
        <v>277</v>
      </c>
      <c r="F73" s="1">
        <v>1973</v>
      </c>
      <c r="G73" s="10">
        <v>88582.570200000002</v>
      </c>
      <c r="H73" s="10">
        <v>54145.630900000004</v>
      </c>
      <c r="I73" s="10">
        <v>45953.734899999996</v>
      </c>
      <c r="J73" s="10">
        <v>18540</v>
      </c>
      <c r="K73" s="10">
        <v>15896.939299999998</v>
      </c>
      <c r="L73" s="1"/>
    </row>
    <row r="74" spans="1:12" ht="13.4" customHeight="1">
      <c r="A74" s="1"/>
      <c r="B74" s="1"/>
      <c r="C74" s="1" t="s">
        <v>23</v>
      </c>
      <c r="D74" s="1" t="s">
        <v>279</v>
      </c>
      <c r="E74" s="1" t="s">
        <v>275</v>
      </c>
      <c r="F74" s="1">
        <v>1845</v>
      </c>
      <c r="G74" s="10">
        <v>173125.75950000001</v>
      </c>
      <c r="H74" s="10">
        <v>131268.2445</v>
      </c>
      <c r="I74" s="10">
        <v>121110.59700000001</v>
      </c>
      <c r="J74" s="10">
        <v>18540</v>
      </c>
      <c r="K74" s="10">
        <v>23317.515000000014</v>
      </c>
      <c r="L74" s="1"/>
    </row>
    <row r="75" spans="1:12" ht="13.4" customHeight="1">
      <c r="A75" s="1"/>
      <c r="B75" s="1"/>
      <c r="C75" s="1" t="s">
        <v>23</v>
      </c>
      <c r="D75" s="1" t="s">
        <v>279</v>
      </c>
      <c r="E75" s="1" t="s">
        <v>276</v>
      </c>
      <c r="F75" s="1">
        <v>2697</v>
      </c>
      <c r="G75" s="10">
        <v>52392.731100000005</v>
      </c>
      <c r="H75" s="10">
        <v>36579.411</v>
      </c>
      <c r="I75" s="10">
        <v>28577.681700000001</v>
      </c>
      <c r="J75" s="10">
        <v>18540</v>
      </c>
      <c r="K75" s="10">
        <v>-2726.6798999999955</v>
      </c>
      <c r="L75" s="1"/>
    </row>
    <row r="76" spans="1:12" ht="13.4" customHeight="1">
      <c r="A76" s="1"/>
      <c r="B76" s="1"/>
      <c r="C76" s="1" t="s">
        <v>23</v>
      </c>
      <c r="D76" s="1" t="s">
        <v>279</v>
      </c>
      <c r="E76" s="1" t="s">
        <v>277</v>
      </c>
      <c r="F76" s="1">
        <v>2269</v>
      </c>
      <c r="G76" s="10">
        <v>101038.34309999998</v>
      </c>
      <c r="H76" s="10">
        <v>62330.791400000002</v>
      </c>
      <c r="I76" s="10">
        <v>52900.6005</v>
      </c>
      <c r="J76" s="10">
        <v>18540</v>
      </c>
      <c r="K76" s="10">
        <v>20167.551699999982</v>
      </c>
      <c r="L76" s="1"/>
    </row>
    <row r="77" spans="1:12" ht="13.4" customHeight="1">
      <c r="A77" s="1"/>
      <c r="B77" s="1"/>
      <c r="C77" s="1" t="s">
        <v>24</v>
      </c>
      <c r="D77" s="1" t="s">
        <v>274</v>
      </c>
      <c r="E77" s="1" t="s">
        <v>275</v>
      </c>
      <c r="F77" s="1">
        <v>1910</v>
      </c>
      <c r="G77" s="10">
        <v>180573.69200000001</v>
      </c>
      <c r="H77" s="10">
        <v>134446.23699999999</v>
      </c>
      <c r="I77" s="10">
        <v>124042.658</v>
      </c>
      <c r="J77" s="10">
        <v>18360</v>
      </c>
      <c r="K77" s="10">
        <v>27767.455000000016</v>
      </c>
      <c r="L77" s="1"/>
    </row>
    <row r="78" spans="1:12" ht="13.4" customHeight="1">
      <c r="A78" s="1"/>
      <c r="B78" s="1"/>
      <c r="C78" s="1" t="s">
        <v>24</v>
      </c>
      <c r="D78" s="1" t="s">
        <v>274</v>
      </c>
      <c r="E78" s="1" t="s">
        <v>276</v>
      </c>
      <c r="F78" s="1">
        <v>2420</v>
      </c>
      <c r="G78" s="10">
        <v>46012.186000000002</v>
      </c>
      <c r="H78" s="10">
        <v>31979.332000000002</v>
      </c>
      <c r="I78" s="10">
        <v>24983.838</v>
      </c>
      <c r="J78" s="10">
        <v>18360</v>
      </c>
      <c r="K78" s="10">
        <v>-4327.1460000000006</v>
      </c>
      <c r="L78" s="1"/>
    </row>
    <row r="79" spans="1:12" ht="13.4" customHeight="1">
      <c r="A79" s="1"/>
      <c r="B79" s="1"/>
      <c r="C79" s="1" t="s">
        <v>24</v>
      </c>
      <c r="D79" s="1" t="s">
        <v>274</v>
      </c>
      <c r="E79" s="1" t="s">
        <v>277</v>
      </c>
      <c r="F79" s="1">
        <v>2075</v>
      </c>
      <c r="G79" s="10">
        <v>93367.737499999988</v>
      </c>
      <c r="H79" s="10">
        <v>55209.524999999994</v>
      </c>
      <c r="I79" s="10">
        <v>46856.820000000007</v>
      </c>
      <c r="J79" s="10">
        <v>18360</v>
      </c>
      <c r="K79" s="10">
        <v>19798.212499999994</v>
      </c>
      <c r="L79" s="1"/>
    </row>
    <row r="80" spans="1:12" ht="13.4" customHeight="1">
      <c r="A80" s="1"/>
      <c r="B80" s="1"/>
      <c r="C80" s="1" t="s">
        <v>24</v>
      </c>
      <c r="D80" s="1" t="s">
        <v>278</v>
      </c>
      <c r="E80" s="1" t="s">
        <v>275</v>
      </c>
      <c r="F80" s="1">
        <v>1745</v>
      </c>
      <c r="G80" s="10">
        <v>167118.47550000003</v>
      </c>
      <c r="H80" s="10">
        <v>115875.329</v>
      </c>
      <c r="I80" s="10">
        <v>106908.821</v>
      </c>
      <c r="J80" s="10">
        <v>18360</v>
      </c>
      <c r="K80" s="10">
        <v>32883.146500000032</v>
      </c>
      <c r="L80" s="1"/>
    </row>
    <row r="81" spans="1:12" ht="13.4" customHeight="1">
      <c r="A81" s="1"/>
      <c r="B81" s="1"/>
      <c r="C81" s="1" t="s">
        <v>24</v>
      </c>
      <c r="D81" s="1" t="s">
        <v>278</v>
      </c>
      <c r="E81" s="1" t="s">
        <v>276</v>
      </c>
      <c r="F81" s="1">
        <v>2457</v>
      </c>
      <c r="G81" s="10">
        <v>47144.178899999992</v>
      </c>
      <c r="H81" s="10">
        <v>30816.185399999998</v>
      </c>
      <c r="I81" s="10">
        <v>24075.160200000002</v>
      </c>
      <c r="J81" s="10">
        <v>18360</v>
      </c>
      <c r="K81" s="10">
        <v>-2032.0065000000068</v>
      </c>
      <c r="L81" s="1"/>
    </row>
    <row r="82" spans="1:12" ht="13.4" customHeight="1">
      <c r="A82" s="1"/>
      <c r="B82" s="1"/>
      <c r="C82" s="1" t="s">
        <v>24</v>
      </c>
      <c r="D82" s="1" t="s">
        <v>278</v>
      </c>
      <c r="E82" s="1" t="s">
        <v>277</v>
      </c>
      <c r="F82" s="1">
        <v>1993</v>
      </c>
      <c r="G82" s="10">
        <v>89719.678199999995</v>
      </c>
      <c r="H82" s="10">
        <v>55318.903799999993</v>
      </c>
      <c r="I82" s="10">
        <v>46949.698900000003</v>
      </c>
      <c r="J82" s="10">
        <v>18360</v>
      </c>
      <c r="K82" s="10">
        <v>16040.774400000002</v>
      </c>
      <c r="L82" s="1"/>
    </row>
    <row r="83" spans="1:12" ht="13.4" customHeight="1">
      <c r="A83" s="1"/>
      <c r="B83" s="1"/>
      <c r="C83" s="1" t="s">
        <v>24</v>
      </c>
      <c r="D83" s="1" t="s">
        <v>279</v>
      </c>
      <c r="E83" s="1" t="s">
        <v>275</v>
      </c>
      <c r="F83" s="1">
        <v>1919</v>
      </c>
      <c r="G83" s="10">
        <v>177235.7696</v>
      </c>
      <c r="H83" s="10">
        <v>135491.57070000001</v>
      </c>
      <c r="I83" s="10">
        <v>125007.11420000001</v>
      </c>
      <c r="J83" s="10">
        <v>18360</v>
      </c>
      <c r="K83" s="10">
        <v>23384.198899999988</v>
      </c>
      <c r="L83" s="1"/>
    </row>
    <row r="84" spans="1:12" ht="13.4" customHeight="1">
      <c r="A84" s="1"/>
      <c r="B84" s="1"/>
      <c r="C84" s="1" t="s">
        <v>24</v>
      </c>
      <c r="D84" s="1" t="s">
        <v>279</v>
      </c>
      <c r="E84" s="1" t="s">
        <v>276</v>
      </c>
      <c r="F84" s="1">
        <v>2695</v>
      </c>
      <c r="G84" s="10">
        <v>51206.078000000001</v>
      </c>
      <c r="H84" s="10">
        <v>35166.515999999996</v>
      </c>
      <c r="I84" s="10">
        <v>27473.907999999999</v>
      </c>
      <c r="J84" s="10">
        <v>18360</v>
      </c>
      <c r="K84" s="10">
        <v>-2320.4379999999946</v>
      </c>
      <c r="L84" s="1"/>
    </row>
    <row r="85" spans="1:12" ht="13.4" customHeight="1">
      <c r="A85" s="1"/>
      <c r="B85" s="1"/>
      <c r="C85" s="1" t="s">
        <v>24</v>
      </c>
      <c r="D85" s="1" t="s">
        <v>279</v>
      </c>
      <c r="E85" s="1" t="s">
        <v>277</v>
      </c>
      <c r="F85" s="1">
        <v>2260</v>
      </c>
      <c r="G85" s="10">
        <v>99506.67</v>
      </c>
      <c r="H85" s="10">
        <v>62939.192000000003</v>
      </c>
      <c r="I85" s="10">
        <v>53417.133999999998</v>
      </c>
      <c r="J85" s="10">
        <v>18360</v>
      </c>
      <c r="K85" s="10">
        <v>18207.477999999996</v>
      </c>
      <c r="L85" s="1"/>
    </row>
    <row r="86" spans="1:12" ht="13.4" customHeight="1">
      <c r="A86" s="1"/>
      <c r="B86" s="1"/>
      <c r="C86" s="1" t="s">
        <v>25</v>
      </c>
      <c r="D86" s="1" t="s">
        <v>274</v>
      </c>
      <c r="E86" s="1" t="s">
        <v>275</v>
      </c>
      <c r="F86" s="1">
        <v>1712</v>
      </c>
      <c r="G86" s="10">
        <v>161419.68640000001</v>
      </c>
      <c r="H86" s="10">
        <v>121934.11840000001</v>
      </c>
      <c r="I86" s="10">
        <v>112498.77279999999</v>
      </c>
      <c r="J86" s="10">
        <v>18450</v>
      </c>
      <c r="K86" s="10">
        <v>21035.567999999999</v>
      </c>
      <c r="L86" s="1"/>
    </row>
    <row r="87" spans="1:12" ht="13.4" customHeight="1">
      <c r="A87" s="1"/>
      <c r="B87" s="1"/>
      <c r="C87" s="1" t="s">
        <v>25</v>
      </c>
      <c r="D87" s="1" t="s">
        <v>274</v>
      </c>
      <c r="E87" s="1" t="s">
        <v>276</v>
      </c>
      <c r="F87" s="1">
        <v>2463</v>
      </c>
      <c r="G87" s="10">
        <v>47779.490700000009</v>
      </c>
      <c r="H87" s="10">
        <v>33098.779199999997</v>
      </c>
      <c r="I87" s="10">
        <v>25858.2981</v>
      </c>
      <c r="J87" s="10">
        <v>18450</v>
      </c>
      <c r="K87" s="10">
        <v>-3769.2884999999878</v>
      </c>
      <c r="L87" s="1"/>
    </row>
    <row r="88" spans="1:12" ht="13.4" customHeight="1">
      <c r="A88" s="1"/>
      <c r="B88" s="1"/>
      <c r="C88" s="1" t="s">
        <v>25</v>
      </c>
      <c r="D88" s="1" t="s">
        <v>274</v>
      </c>
      <c r="E88" s="1" t="s">
        <v>277</v>
      </c>
      <c r="F88" s="1">
        <v>2462</v>
      </c>
      <c r="G88" s="10">
        <v>105012.67079999999</v>
      </c>
      <c r="H88" s="10">
        <v>66261.036999999997</v>
      </c>
      <c r="I88" s="10">
        <v>56236.265399999997</v>
      </c>
      <c r="J88" s="10">
        <v>18450</v>
      </c>
      <c r="K88" s="10">
        <v>20301.633799999996</v>
      </c>
      <c r="L88" s="1"/>
    </row>
    <row r="89" spans="1:12" ht="13.4" customHeight="1">
      <c r="A89" s="1"/>
      <c r="B89" s="1"/>
      <c r="C89" s="1" t="s">
        <v>25</v>
      </c>
      <c r="D89" s="1" t="s">
        <v>278</v>
      </c>
      <c r="E89" s="1" t="s">
        <v>275</v>
      </c>
      <c r="F89" s="1">
        <v>1881</v>
      </c>
      <c r="G89" s="10">
        <v>174630.72329999998</v>
      </c>
      <c r="H89" s="10">
        <v>130938.1029</v>
      </c>
      <c r="I89" s="10">
        <v>120805.90830000001</v>
      </c>
      <c r="J89" s="10">
        <v>18450</v>
      </c>
      <c r="K89" s="10">
        <v>25242.620399999985</v>
      </c>
      <c r="L89" s="1"/>
    </row>
    <row r="90" spans="1:12" ht="13.4" customHeight="1">
      <c r="A90" s="1"/>
      <c r="B90" s="1"/>
      <c r="C90" s="1" t="s">
        <v>25</v>
      </c>
      <c r="D90" s="1" t="s">
        <v>278</v>
      </c>
      <c r="E90" s="1" t="s">
        <v>276</v>
      </c>
      <c r="F90" s="1">
        <v>2335</v>
      </c>
      <c r="G90" s="10">
        <v>43653.759000000005</v>
      </c>
      <c r="H90" s="10">
        <v>31050.829999999998</v>
      </c>
      <c r="I90" s="10">
        <v>24258.548499999997</v>
      </c>
      <c r="J90" s="10">
        <v>18450</v>
      </c>
      <c r="K90" s="10">
        <v>-5847.0709999999926</v>
      </c>
      <c r="L90" s="1"/>
    </row>
    <row r="91" spans="1:12" ht="13.4" customHeight="1">
      <c r="A91" s="1"/>
      <c r="B91" s="1"/>
      <c r="C91" s="1" t="s">
        <v>25</v>
      </c>
      <c r="D91" s="1" t="s">
        <v>278</v>
      </c>
      <c r="E91" s="1" t="s">
        <v>277</v>
      </c>
      <c r="F91" s="1">
        <v>1968</v>
      </c>
      <c r="G91" s="10">
        <v>85617.643199999991</v>
      </c>
      <c r="H91" s="10">
        <v>55044.369600000005</v>
      </c>
      <c r="I91" s="10">
        <v>46716.777599999994</v>
      </c>
      <c r="J91" s="10">
        <v>18450</v>
      </c>
      <c r="K91" s="10">
        <v>12123.273599999986</v>
      </c>
      <c r="L91" s="1"/>
    </row>
    <row r="92" spans="1:12" ht="13.4" customHeight="1">
      <c r="A92" s="1"/>
      <c r="B92" s="1"/>
      <c r="C92" s="1" t="s">
        <v>25</v>
      </c>
      <c r="D92" s="1" t="s">
        <v>279</v>
      </c>
      <c r="E92" s="1" t="s">
        <v>275</v>
      </c>
      <c r="F92" s="1">
        <v>2189</v>
      </c>
      <c r="G92" s="10">
        <v>205287.26569999999</v>
      </c>
      <c r="H92" s="10">
        <v>145395.56900000002</v>
      </c>
      <c r="I92" s="10">
        <v>134144.76570000002</v>
      </c>
      <c r="J92" s="10">
        <v>18450</v>
      </c>
      <c r="K92" s="10">
        <v>41441.696699999971</v>
      </c>
      <c r="L92" s="1"/>
    </row>
    <row r="93" spans="1:12" ht="13.4" customHeight="1">
      <c r="A93" s="1"/>
      <c r="B93" s="1"/>
      <c r="C93" s="1" t="s">
        <v>25</v>
      </c>
      <c r="D93" s="1" t="s">
        <v>279</v>
      </c>
      <c r="E93" s="1" t="s">
        <v>276</v>
      </c>
      <c r="F93" s="1">
        <v>3017</v>
      </c>
      <c r="G93" s="10">
        <v>57565.868500000004</v>
      </c>
      <c r="H93" s="10">
        <v>37677.804499999998</v>
      </c>
      <c r="I93" s="10">
        <v>29435.662200000002</v>
      </c>
      <c r="J93" s="10">
        <v>18450</v>
      </c>
      <c r="K93" s="10">
        <v>1438.0640000000058</v>
      </c>
      <c r="L93" s="1"/>
    </row>
    <row r="94" spans="1:12" ht="13.4" customHeight="1">
      <c r="A94" s="1"/>
      <c r="B94" s="1"/>
      <c r="C94" s="1" t="s">
        <v>25</v>
      </c>
      <c r="D94" s="1" t="s">
        <v>279</v>
      </c>
      <c r="E94" s="1" t="s">
        <v>277</v>
      </c>
      <c r="F94" s="1">
        <v>2550</v>
      </c>
      <c r="G94" s="10">
        <v>113009.11500000001</v>
      </c>
      <c r="H94" s="10">
        <v>70970.324999999997</v>
      </c>
      <c r="I94" s="10">
        <v>60233.039999999994</v>
      </c>
      <c r="J94" s="10">
        <v>18450</v>
      </c>
      <c r="K94" s="10">
        <v>23588.790000000008</v>
      </c>
      <c r="L94" s="1"/>
    </row>
    <row r="95" spans="1:12" ht="13.4" customHeight="1">
      <c r="A95" s="1"/>
      <c r="B95" s="1"/>
      <c r="C95" s="1" t="s">
        <v>26</v>
      </c>
      <c r="D95" s="1" t="s">
        <v>274</v>
      </c>
      <c r="E95" s="1" t="s">
        <v>275</v>
      </c>
      <c r="F95" s="1">
        <v>2590</v>
      </c>
      <c r="G95" s="10">
        <v>248032.386</v>
      </c>
      <c r="H95" s="10">
        <v>172708.71100000001</v>
      </c>
      <c r="I95" s="10">
        <v>159344.57</v>
      </c>
      <c r="J95" s="10">
        <v>18540</v>
      </c>
      <c r="K95" s="10">
        <v>56783.674999999988</v>
      </c>
      <c r="L95" s="1"/>
    </row>
    <row r="96" spans="1:12" ht="13.4" customHeight="1">
      <c r="A96" s="1"/>
      <c r="B96" s="1"/>
      <c r="C96" s="1" t="s">
        <v>26</v>
      </c>
      <c r="D96" s="1" t="s">
        <v>274</v>
      </c>
      <c r="E96" s="1" t="s">
        <v>276</v>
      </c>
      <c r="F96" s="1">
        <v>3787</v>
      </c>
      <c r="G96" s="10">
        <v>73087.585200000001</v>
      </c>
      <c r="H96" s="10">
        <v>47641.974799999996</v>
      </c>
      <c r="I96" s="10">
        <v>37220.529500000004</v>
      </c>
      <c r="J96" s="10">
        <v>18540</v>
      </c>
      <c r="K96" s="10">
        <v>6905.610400000005</v>
      </c>
      <c r="L96" s="1"/>
    </row>
    <row r="97" spans="1:12" ht="13.4" customHeight="1">
      <c r="A97" s="1"/>
      <c r="B97" s="1"/>
      <c r="C97" s="1" t="s">
        <v>26</v>
      </c>
      <c r="D97" s="1" t="s">
        <v>274</v>
      </c>
      <c r="E97" s="1" t="s">
        <v>277</v>
      </c>
      <c r="F97" s="1">
        <v>3098</v>
      </c>
      <c r="G97" s="10">
        <v>133700.07619999998</v>
      </c>
      <c r="H97" s="10">
        <v>85343.084399999992</v>
      </c>
      <c r="I97" s="10">
        <v>72431.549799999993</v>
      </c>
      <c r="J97" s="10">
        <v>18540</v>
      </c>
      <c r="K97" s="10">
        <v>29816.991799999989</v>
      </c>
      <c r="L97" s="1"/>
    </row>
    <row r="98" spans="1:12" ht="13.4" customHeight="1">
      <c r="A98" s="1"/>
      <c r="B98" s="1"/>
      <c r="C98" s="1" t="s">
        <v>26</v>
      </c>
      <c r="D98" s="1" t="s">
        <v>278</v>
      </c>
      <c r="E98" s="1" t="s">
        <v>275</v>
      </c>
      <c r="F98" s="1">
        <v>2482</v>
      </c>
      <c r="G98" s="10">
        <v>231772.883</v>
      </c>
      <c r="H98" s="10">
        <v>172025.6826</v>
      </c>
      <c r="I98" s="10">
        <v>158714.22019999998</v>
      </c>
      <c r="J98" s="10">
        <v>18540</v>
      </c>
      <c r="K98" s="10">
        <v>41207.200400000002</v>
      </c>
      <c r="L98" s="1"/>
    </row>
    <row r="99" spans="1:12" ht="13.4" customHeight="1">
      <c r="A99" s="1"/>
      <c r="B99" s="1"/>
      <c r="C99" s="1" t="s">
        <v>26</v>
      </c>
      <c r="D99" s="1" t="s">
        <v>278</v>
      </c>
      <c r="E99" s="1" t="s">
        <v>276</v>
      </c>
      <c r="F99" s="1">
        <v>3021</v>
      </c>
      <c r="G99" s="10">
        <v>57295.379699999998</v>
      </c>
      <c r="H99" s="10">
        <v>38597.202300000004</v>
      </c>
      <c r="I99" s="10">
        <v>30154.111499999999</v>
      </c>
      <c r="J99" s="10">
        <v>18540</v>
      </c>
      <c r="K99" s="10">
        <v>158.17739999999321</v>
      </c>
      <c r="L99" s="1"/>
    </row>
    <row r="100" spans="1:12" ht="13.4" customHeight="1">
      <c r="A100" s="1"/>
      <c r="B100" s="1"/>
      <c r="C100" s="1" t="s">
        <v>26</v>
      </c>
      <c r="D100" s="1" t="s">
        <v>278</v>
      </c>
      <c r="E100" s="1" t="s">
        <v>277</v>
      </c>
      <c r="F100" s="1">
        <v>3065</v>
      </c>
      <c r="G100" s="10">
        <v>131226.4425</v>
      </c>
      <c r="H100" s="10">
        <v>81799.946000000011</v>
      </c>
      <c r="I100" s="10">
        <v>69424.395499999999</v>
      </c>
      <c r="J100" s="10">
        <v>18540</v>
      </c>
      <c r="K100" s="10">
        <v>30886.496499999994</v>
      </c>
      <c r="L100" s="1"/>
    </row>
    <row r="101" spans="1:12" ht="13.4" customHeight="1">
      <c r="A101" s="1"/>
      <c r="B101" s="1"/>
      <c r="C101" s="1" t="s">
        <v>26</v>
      </c>
      <c r="D101" s="1" t="s">
        <v>279</v>
      </c>
      <c r="E101" s="1" t="s">
        <v>275</v>
      </c>
      <c r="F101" s="1">
        <v>2697</v>
      </c>
      <c r="G101" s="10">
        <v>251500.9137</v>
      </c>
      <c r="H101" s="10">
        <v>176762.18910000002</v>
      </c>
      <c r="I101" s="10">
        <v>163084.0839</v>
      </c>
      <c r="J101" s="10">
        <v>18540</v>
      </c>
      <c r="K101" s="10">
        <v>56198.724599999987</v>
      </c>
      <c r="L101" s="1"/>
    </row>
    <row r="102" spans="1:12" ht="13.4" customHeight="1">
      <c r="A102" s="1"/>
      <c r="B102" s="1"/>
      <c r="C102" s="1" t="s">
        <v>26</v>
      </c>
      <c r="D102" s="1" t="s">
        <v>279</v>
      </c>
      <c r="E102" s="1" t="s">
        <v>276</v>
      </c>
      <c r="F102" s="1">
        <v>3884</v>
      </c>
      <c r="G102" s="10">
        <v>73655.787599999996</v>
      </c>
      <c r="H102" s="10">
        <v>50279.545199999993</v>
      </c>
      <c r="I102" s="10">
        <v>39280.834000000003</v>
      </c>
      <c r="J102" s="10">
        <v>18540</v>
      </c>
      <c r="K102" s="10">
        <v>4836.2424000000028</v>
      </c>
      <c r="L102" s="1"/>
    </row>
    <row r="103" spans="1:12" ht="13.4" customHeight="1">
      <c r="A103" s="1"/>
      <c r="B103" s="1"/>
      <c r="C103" s="1" t="s">
        <v>26</v>
      </c>
      <c r="D103" s="1" t="s">
        <v>279</v>
      </c>
      <c r="E103" s="1" t="s">
        <v>277</v>
      </c>
      <c r="F103" s="1">
        <v>3400</v>
      </c>
      <c r="G103" s="10">
        <v>150082.80000000002</v>
      </c>
      <c r="H103" s="10">
        <v>91888.06</v>
      </c>
      <c r="I103" s="10">
        <v>77986.14</v>
      </c>
      <c r="J103" s="10">
        <v>18540</v>
      </c>
      <c r="K103" s="10">
        <v>39654.74000000002</v>
      </c>
      <c r="L103" s="1"/>
    </row>
    <row r="104" spans="1:12" ht="13.4" customHeight="1">
      <c r="A104" s="1"/>
      <c r="B104" s="1"/>
      <c r="C104" s="1" t="s">
        <v>27</v>
      </c>
      <c r="D104" s="1" t="s">
        <v>274</v>
      </c>
      <c r="E104" s="1" t="s">
        <v>275</v>
      </c>
      <c r="F104" s="1">
        <v>2435</v>
      </c>
      <c r="G104" s="10">
        <v>235706.052</v>
      </c>
      <c r="H104" s="10">
        <v>170614.36249999999</v>
      </c>
      <c r="I104" s="10">
        <v>157412.03600000002</v>
      </c>
      <c r="J104" s="10">
        <v>18360</v>
      </c>
      <c r="K104" s="10">
        <v>46731.689500000008</v>
      </c>
      <c r="L104" s="1"/>
    </row>
    <row r="105" spans="1:12" ht="13.4" customHeight="1">
      <c r="A105" s="1"/>
      <c r="B105" s="1"/>
      <c r="C105" s="1" t="s">
        <v>27</v>
      </c>
      <c r="D105" s="1" t="s">
        <v>274</v>
      </c>
      <c r="E105" s="1" t="s">
        <v>276</v>
      </c>
      <c r="F105" s="1">
        <v>3313</v>
      </c>
      <c r="G105" s="10">
        <v>61132.138600000006</v>
      </c>
      <c r="H105" s="10">
        <v>44158.314399999996</v>
      </c>
      <c r="I105" s="10">
        <v>34498.600299999998</v>
      </c>
      <c r="J105" s="10">
        <v>18360</v>
      </c>
      <c r="K105" s="10">
        <v>-1386.17579999999</v>
      </c>
      <c r="L105" s="1"/>
    </row>
    <row r="106" spans="1:12" ht="13.4" customHeight="1">
      <c r="A106" s="1"/>
      <c r="B106" s="1"/>
      <c r="C106" s="1" t="s">
        <v>27</v>
      </c>
      <c r="D106" s="1" t="s">
        <v>274</v>
      </c>
      <c r="E106" s="1" t="s">
        <v>277</v>
      </c>
      <c r="F106" s="1">
        <v>3240</v>
      </c>
      <c r="G106" s="10">
        <v>145259.568</v>
      </c>
      <c r="H106" s="10">
        <v>87176.736000000004</v>
      </c>
      <c r="I106" s="10">
        <v>73987.667999999991</v>
      </c>
      <c r="J106" s="10">
        <v>18360</v>
      </c>
      <c r="K106" s="10">
        <v>39722.831999999995</v>
      </c>
      <c r="L106" s="1"/>
    </row>
    <row r="107" spans="1:12" ht="13.4" customHeight="1">
      <c r="A107" s="1"/>
      <c r="B107" s="1"/>
      <c r="C107" s="1" t="s">
        <v>27</v>
      </c>
      <c r="D107" s="1" t="s">
        <v>278</v>
      </c>
      <c r="E107" s="1" t="s">
        <v>275</v>
      </c>
      <c r="F107" s="1">
        <v>2093</v>
      </c>
      <c r="G107" s="10">
        <v>192773.4627</v>
      </c>
      <c r="H107" s="10">
        <v>147691.07990000001</v>
      </c>
      <c r="I107" s="10">
        <v>136262.67199999999</v>
      </c>
      <c r="J107" s="10">
        <v>18360</v>
      </c>
      <c r="K107" s="10">
        <v>26722.382799999992</v>
      </c>
      <c r="L107" s="1"/>
    </row>
    <row r="108" spans="1:12" ht="13.4" customHeight="1">
      <c r="A108" s="1"/>
      <c r="B108" s="1"/>
      <c r="C108" s="1" t="s">
        <v>27</v>
      </c>
      <c r="D108" s="1" t="s">
        <v>278</v>
      </c>
      <c r="E108" s="1" t="s">
        <v>276</v>
      </c>
      <c r="F108" s="1">
        <v>3345</v>
      </c>
      <c r="G108" s="10">
        <v>61895.210999999996</v>
      </c>
      <c r="H108" s="10">
        <v>42209.551500000001</v>
      </c>
      <c r="I108" s="10">
        <v>32976.013500000001</v>
      </c>
      <c r="J108" s="10">
        <v>18360</v>
      </c>
      <c r="K108" s="10">
        <v>1325.6594999999943</v>
      </c>
      <c r="L108" s="1"/>
    </row>
    <row r="109" spans="1:12" ht="13.4" customHeight="1">
      <c r="A109" s="1"/>
      <c r="B109" s="1"/>
      <c r="C109" s="1" t="s">
        <v>27</v>
      </c>
      <c r="D109" s="1" t="s">
        <v>278</v>
      </c>
      <c r="E109" s="1" t="s">
        <v>277</v>
      </c>
      <c r="F109" s="1">
        <v>3044</v>
      </c>
      <c r="G109" s="10">
        <v>133632.81759999998</v>
      </c>
      <c r="H109" s="10">
        <v>86282.18</v>
      </c>
      <c r="I109" s="10">
        <v>73228.290399999998</v>
      </c>
      <c r="J109" s="10">
        <v>18360</v>
      </c>
      <c r="K109" s="10">
        <v>28990.637599999987</v>
      </c>
      <c r="L109" s="1"/>
    </row>
    <row r="110" spans="1:12" ht="13.4" customHeight="1">
      <c r="A110" s="1"/>
      <c r="B110" s="1"/>
      <c r="C110" s="1" t="s">
        <v>27</v>
      </c>
      <c r="D110" s="1" t="s">
        <v>279</v>
      </c>
      <c r="E110" s="1" t="s">
        <v>275</v>
      </c>
      <c r="F110" s="1">
        <v>2958</v>
      </c>
      <c r="G110" s="10">
        <v>278026.5612</v>
      </c>
      <c r="H110" s="10">
        <v>204294.8616</v>
      </c>
      <c r="I110" s="10">
        <v>188486.4222</v>
      </c>
      <c r="J110" s="10">
        <v>18360</v>
      </c>
      <c r="K110" s="10">
        <v>55371.699599999993</v>
      </c>
      <c r="L110" s="1"/>
    </row>
    <row r="111" spans="1:12" ht="13.4" customHeight="1">
      <c r="A111" s="1"/>
      <c r="B111" s="1"/>
      <c r="C111" s="1" t="s">
        <v>27</v>
      </c>
      <c r="D111" s="1" t="s">
        <v>279</v>
      </c>
      <c r="E111" s="1" t="s">
        <v>276</v>
      </c>
      <c r="F111" s="1">
        <v>4064</v>
      </c>
      <c r="G111" s="10">
        <v>78269.795199999993</v>
      </c>
      <c r="H111" s="10">
        <v>54616.096000000005</v>
      </c>
      <c r="I111" s="10">
        <v>42668.748800000001</v>
      </c>
      <c r="J111" s="10">
        <v>18360</v>
      </c>
      <c r="K111" s="10">
        <v>5293.6991999999882</v>
      </c>
      <c r="L111" s="1"/>
    </row>
    <row r="112" spans="1:12" ht="13.4" customHeight="1">
      <c r="A112" s="1"/>
      <c r="B112" s="1"/>
      <c r="C112" s="1" t="s">
        <v>27</v>
      </c>
      <c r="D112" s="1" t="s">
        <v>279</v>
      </c>
      <c r="E112" s="1" t="s">
        <v>277</v>
      </c>
      <c r="F112" s="1">
        <v>2989</v>
      </c>
      <c r="G112" s="10">
        <v>134250.6361</v>
      </c>
      <c r="H112" s="10">
        <v>84929.744899999991</v>
      </c>
      <c r="I112" s="10">
        <v>72080.631699999998</v>
      </c>
      <c r="J112" s="10">
        <v>18360</v>
      </c>
      <c r="K112" s="10">
        <v>30960.891200000013</v>
      </c>
      <c r="L112" s="1"/>
    </row>
    <row r="113" spans="1:12" ht="13.4" customHeight="1">
      <c r="A113" s="1"/>
      <c r="B113" s="1"/>
      <c r="C113" s="1" t="s">
        <v>28</v>
      </c>
      <c r="D113" s="1" t="s">
        <v>274</v>
      </c>
      <c r="E113" s="1" t="s">
        <v>275</v>
      </c>
      <c r="F113" s="1">
        <v>1615</v>
      </c>
      <c r="G113" s="10">
        <v>157644.67199999999</v>
      </c>
      <c r="H113" s="10">
        <v>113735.2445</v>
      </c>
      <c r="I113" s="10">
        <v>104934.30200000001</v>
      </c>
      <c r="J113" s="10">
        <v>18450</v>
      </c>
      <c r="K113" s="10">
        <v>25459.427499999991</v>
      </c>
      <c r="L113" s="1"/>
    </row>
    <row r="114" spans="1:12" ht="13.4" customHeight="1">
      <c r="A114" s="1"/>
      <c r="B114" s="1"/>
      <c r="C114" s="1" t="s">
        <v>28</v>
      </c>
      <c r="D114" s="1" t="s">
        <v>274</v>
      </c>
      <c r="E114" s="1" t="s">
        <v>276</v>
      </c>
      <c r="F114" s="1">
        <v>2325</v>
      </c>
      <c r="G114" s="10">
        <v>45184.282500000001</v>
      </c>
      <c r="H114" s="10">
        <v>29591.670000000002</v>
      </c>
      <c r="I114" s="10">
        <v>23118.637499999997</v>
      </c>
      <c r="J114" s="10">
        <v>18450</v>
      </c>
      <c r="K114" s="10">
        <v>-2857.3875000000007</v>
      </c>
      <c r="L114" s="1"/>
    </row>
    <row r="115" spans="1:12" ht="13.4" customHeight="1">
      <c r="A115" s="1"/>
      <c r="B115" s="1"/>
      <c r="C115" s="1" t="s">
        <v>28</v>
      </c>
      <c r="D115" s="1" t="s">
        <v>274</v>
      </c>
      <c r="E115" s="1" t="s">
        <v>277</v>
      </c>
      <c r="F115" s="1">
        <v>1970</v>
      </c>
      <c r="G115" s="10">
        <v>88771.942999999999</v>
      </c>
      <c r="H115" s="10">
        <v>54141.116000000002</v>
      </c>
      <c r="I115" s="10">
        <v>45950.053</v>
      </c>
      <c r="J115" s="10">
        <v>18450</v>
      </c>
      <c r="K115" s="10">
        <v>16180.826999999997</v>
      </c>
      <c r="L115" s="1"/>
    </row>
    <row r="116" spans="1:12" ht="13.4" customHeight="1">
      <c r="A116" s="1"/>
      <c r="B116" s="1"/>
      <c r="C116" s="1" t="s">
        <v>28</v>
      </c>
      <c r="D116" s="1" t="s">
        <v>278</v>
      </c>
      <c r="E116" s="1" t="s">
        <v>275</v>
      </c>
      <c r="F116" s="1">
        <v>1456</v>
      </c>
      <c r="G116" s="10">
        <v>140987.6832</v>
      </c>
      <c r="H116" s="10">
        <v>98159.734400000001</v>
      </c>
      <c r="I116" s="10">
        <v>90564.073600000003</v>
      </c>
      <c r="J116" s="10">
        <v>18450</v>
      </c>
      <c r="K116" s="10">
        <v>24377.948799999998</v>
      </c>
      <c r="L116" s="1"/>
    </row>
    <row r="117" spans="1:12" ht="13.4" customHeight="1">
      <c r="A117" s="1"/>
      <c r="B117" s="1"/>
      <c r="C117" s="1" t="s">
        <v>28</v>
      </c>
      <c r="D117" s="1" t="s">
        <v>278</v>
      </c>
      <c r="E117" s="1" t="s">
        <v>276</v>
      </c>
      <c r="F117" s="1">
        <v>2426</v>
      </c>
      <c r="G117" s="10">
        <v>45670.905600000006</v>
      </c>
      <c r="H117" s="10">
        <v>32354.834200000001</v>
      </c>
      <c r="I117" s="10">
        <v>25277.221799999999</v>
      </c>
      <c r="J117" s="10">
        <v>18450</v>
      </c>
      <c r="K117" s="10">
        <v>-5133.9285999999956</v>
      </c>
      <c r="L117" s="1"/>
    </row>
    <row r="118" spans="1:12" ht="13.4" customHeight="1">
      <c r="A118" s="1"/>
      <c r="B118" s="1"/>
      <c r="C118" s="1" t="s">
        <v>28</v>
      </c>
      <c r="D118" s="1" t="s">
        <v>278</v>
      </c>
      <c r="E118" s="1" t="s">
        <v>277</v>
      </c>
      <c r="F118" s="1">
        <v>2121</v>
      </c>
      <c r="G118" s="10">
        <v>95495.267699999997</v>
      </c>
      <c r="H118" s="10">
        <v>60263.760900000001</v>
      </c>
      <c r="I118" s="10">
        <v>51146.218200000003</v>
      </c>
      <c r="J118" s="10">
        <v>18450</v>
      </c>
      <c r="K118" s="10">
        <v>16781.506799999996</v>
      </c>
      <c r="L118" s="1"/>
    </row>
    <row r="119" spans="1:12" ht="13.4" customHeight="1">
      <c r="A119" s="1"/>
      <c r="B119" s="1"/>
      <c r="C119" s="1" t="s">
        <v>28</v>
      </c>
      <c r="D119" s="1" t="s">
        <v>279</v>
      </c>
      <c r="E119" s="1" t="s">
        <v>275</v>
      </c>
      <c r="F119" s="1">
        <v>1713</v>
      </c>
      <c r="G119" s="10">
        <v>160514.26679999998</v>
      </c>
      <c r="H119" s="10">
        <v>115447.63499999999</v>
      </c>
      <c r="I119" s="10">
        <v>106514.16870000001</v>
      </c>
      <c r="J119" s="10">
        <v>18450</v>
      </c>
      <c r="K119" s="10">
        <v>26616.631799999988</v>
      </c>
      <c r="L119" s="1"/>
    </row>
    <row r="120" spans="1:12" ht="13.4" customHeight="1">
      <c r="A120" s="1"/>
      <c r="B120" s="1"/>
      <c r="C120" s="1" t="s">
        <v>28</v>
      </c>
      <c r="D120" s="1" t="s">
        <v>279</v>
      </c>
      <c r="E120" s="1" t="s">
        <v>276</v>
      </c>
      <c r="F120" s="1">
        <v>2640</v>
      </c>
      <c r="G120" s="10">
        <v>50103.240000000005</v>
      </c>
      <c r="H120" s="10">
        <v>35765.4</v>
      </c>
      <c r="I120" s="10">
        <v>27941.759999999998</v>
      </c>
      <c r="J120" s="10">
        <v>18450</v>
      </c>
      <c r="K120" s="10">
        <v>-4112.1599999999962</v>
      </c>
      <c r="L120" s="1"/>
    </row>
    <row r="121" spans="1:12" ht="13.4" customHeight="1">
      <c r="A121" s="1"/>
      <c r="B121" s="1"/>
      <c r="C121" s="1" t="s">
        <v>28</v>
      </c>
      <c r="D121" s="1" t="s">
        <v>279</v>
      </c>
      <c r="E121" s="1" t="s">
        <v>277</v>
      </c>
      <c r="F121" s="1">
        <v>2401</v>
      </c>
      <c r="G121" s="10">
        <v>109155.94269999999</v>
      </c>
      <c r="H121" s="10">
        <v>64984.265500000001</v>
      </c>
      <c r="I121" s="10">
        <v>55152.650699999998</v>
      </c>
      <c r="J121" s="10">
        <v>18450</v>
      </c>
      <c r="K121" s="10">
        <v>25721.677199999984</v>
      </c>
      <c r="L121" s="1"/>
    </row>
    <row r="122" spans="1:12" ht="13.4" customHeight="1">
      <c r="A122" s="1"/>
      <c r="B122" s="1"/>
      <c r="C122" s="1" t="s">
        <v>29</v>
      </c>
      <c r="D122" s="1" t="s">
        <v>274</v>
      </c>
      <c r="E122" s="1" t="s">
        <v>275</v>
      </c>
      <c r="F122" s="1">
        <v>1841</v>
      </c>
      <c r="G122" s="10">
        <v>173785.9816</v>
      </c>
      <c r="H122" s="10">
        <v>126997.15069999998</v>
      </c>
      <c r="I122" s="10">
        <v>117169.8927</v>
      </c>
      <c r="J122" s="10">
        <v>18540</v>
      </c>
      <c r="K122" s="10">
        <v>28248.830900000015</v>
      </c>
      <c r="L122" s="1"/>
    </row>
    <row r="123" spans="1:12" ht="13.4" customHeight="1">
      <c r="A123" s="1"/>
      <c r="B123" s="1"/>
      <c r="C123" s="1" t="s">
        <v>29</v>
      </c>
      <c r="D123" s="1" t="s">
        <v>274</v>
      </c>
      <c r="E123" s="1" t="s">
        <v>276</v>
      </c>
      <c r="F123" s="1">
        <v>2300</v>
      </c>
      <c r="G123" s="10">
        <v>44469.119999999995</v>
      </c>
      <c r="H123" s="10">
        <v>28708.14</v>
      </c>
      <c r="I123" s="10">
        <v>22428.22</v>
      </c>
      <c r="J123" s="10">
        <v>18540</v>
      </c>
      <c r="K123" s="10">
        <v>-2779.0200000000041</v>
      </c>
      <c r="L123" s="1"/>
    </row>
    <row r="124" spans="1:12" ht="13.4" customHeight="1">
      <c r="A124" s="1"/>
      <c r="B124" s="1"/>
      <c r="C124" s="1" t="s">
        <v>29</v>
      </c>
      <c r="D124" s="1" t="s">
        <v>274</v>
      </c>
      <c r="E124" s="1" t="s">
        <v>277</v>
      </c>
      <c r="F124" s="1">
        <v>2095</v>
      </c>
      <c r="G124" s="10">
        <v>91995.011500000008</v>
      </c>
      <c r="H124" s="10">
        <v>58137.716500000002</v>
      </c>
      <c r="I124" s="10">
        <v>49341.858999999997</v>
      </c>
      <c r="J124" s="10">
        <v>18540</v>
      </c>
      <c r="K124" s="10">
        <v>15317.295000000006</v>
      </c>
      <c r="L124" s="1"/>
    </row>
    <row r="125" spans="1:12" ht="13.4" customHeight="1">
      <c r="A125" s="1"/>
      <c r="B125" s="1"/>
      <c r="C125" s="1" t="s">
        <v>29</v>
      </c>
      <c r="D125" s="1" t="s">
        <v>278</v>
      </c>
      <c r="E125" s="1" t="s">
        <v>275</v>
      </c>
      <c r="F125" s="1">
        <v>1627</v>
      </c>
      <c r="G125" s="10">
        <v>159444.21030000001</v>
      </c>
      <c r="H125" s="10">
        <v>107672.90759999999</v>
      </c>
      <c r="I125" s="10">
        <v>99341.203299999994</v>
      </c>
      <c r="J125" s="10">
        <v>18540</v>
      </c>
      <c r="K125" s="10">
        <v>33231.302700000015</v>
      </c>
      <c r="L125" s="1"/>
    </row>
    <row r="126" spans="1:12" ht="13.4" customHeight="1">
      <c r="A126" s="1"/>
      <c r="B126" s="1"/>
      <c r="C126" s="1" t="s">
        <v>29</v>
      </c>
      <c r="D126" s="1" t="s">
        <v>278</v>
      </c>
      <c r="E126" s="1" t="s">
        <v>276</v>
      </c>
      <c r="F126" s="1">
        <v>2169</v>
      </c>
      <c r="G126" s="10">
        <v>40437.1008</v>
      </c>
      <c r="H126" s="10">
        <v>28094.623199999998</v>
      </c>
      <c r="I126" s="10">
        <v>21948.978600000002</v>
      </c>
      <c r="J126" s="10">
        <v>18540</v>
      </c>
      <c r="K126" s="10">
        <v>-6197.522399999998</v>
      </c>
      <c r="L126" s="1"/>
    </row>
    <row r="127" spans="1:12" ht="13.4" customHeight="1">
      <c r="A127" s="1"/>
      <c r="B127" s="1"/>
      <c r="C127" s="1" t="s">
        <v>29</v>
      </c>
      <c r="D127" s="1" t="s">
        <v>278</v>
      </c>
      <c r="E127" s="1" t="s">
        <v>277</v>
      </c>
      <c r="F127" s="1">
        <v>2137</v>
      </c>
      <c r="G127" s="10">
        <v>92661.815900000001</v>
      </c>
      <c r="H127" s="10">
        <v>61203.0389</v>
      </c>
      <c r="I127" s="10">
        <v>51943.631600000001</v>
      </c>
      <c r="J127" s="10">
        <v>18540</v>
      </c>
      <c r="K127" s="10">
        <v>12918.777000000002</v>
      </c>
      <c r="L127" s="1"/>
    </row>
    <row r="128" spans="1:12" ht="13.4" customHeight="1">
      <c r="A128" s="1"/>
      <c r="B128" s="1"/>
      <c r="C128" s="1" t="s">
        <v>29</v>
      </c>
      <c r="D128" s="1" t="s">
        <v>279</v>
      </c>
      <c r="E128" s="1" t="s">
        <v>275</v>
      </c>
      <c r="F128" s="1">
        <v>2067</v>
      </c>
      <c r="G128" s="10">
        <v>197794.53719999999</v>
      </c>
      <c r="H128" s="10">
        <v>143923.96980000002</v>
      </c>
      <c r="I128" s="10">
        <v>132786.97380000001</v>
      </c>
      <c r="J128" s="10">
        <v>18540</v>
      </c>
      <c r="K128" s="10">
        <v>35330.567399999971</v>
      </c>
      <c r="L128" s="1"/>
    </row>
    <row r="129" spans="1:12" ht="13.4" customHeight="1">
      <c r="A129" s="1"/>
      <c r="B129" s="1"/>
      <c r="C129" s="1" t="s">
        <v>29</v>
      </c>
      <c r="D129" s="1" t="s">
        <v>279</v>
      </c>
      <c r="E129" s="1" t="s">
        <v>276</v>
      </c>
      <c r="F129" s="1">
        <v>2337</v>
      </c>
      <c r="G129" s="10">
        <v>45064.838400000001</v>
      </c>
      <c r="H129" s="10">
        <v>30005.444100000001</v>
      </c>
      <c r="I129" s="10">
        <v>23441.745899999998</v>
      </c>
      <c r="J129" s="10">
        <v>18540</v>
      </c>
      <c r="K129" s="10">
        <v>-3480.6057000000001</v>
      </c>
      <c r="L129" s="1"/>
    </row>
    <row r="130" spans="1:12" ht="13.4" customHeight="1">
      <c r="A130" s="1"/>
      <c r="B130" s="1"/>
      <c r="C130" s="1" t="s">
        <v>29</v>
      </c>
      <c r="D130" s="1" t="s">
        <v>279</v>
      </c>
      <c r="E130" s="1" t="s">
        <v>277</v>
      </c>
      <c r="F130" s="1">
        <v>2345</v>
      </c>
      <c r="G130" s="10">
        <v>104757.716</v>
      </c>
      <c r="H130" s="10">
        <v>63928.217500000006</v>
      </c>
      <c r="I130" s="10">
        <v>54256.499499999998</v>
      </c>
      <c r="J130" s="10">
        <v>18540</v>
      </c>
      <c r="K130" s="10">
        <v>22289.498499999994</v>
      </c>
      <c r="L130" s="1"/>
    </row>
    <row r="131" spans="1:12" ht="13.4" customHeight="1">
      <c r="A131" s="1"/>
      <c r="B131" s="1"/>
      <c r="C131" s="1" t="s">
        <v>30</v>
      </c>
      <c r="D131" s="1" t="s">
        <v>274</v>
      </c>
      <c r="E131" s="1" t="s">
        <v>275</v>
      </c>
      <c r="F131" s="1">
        <v>1921</v>
      </c>
      <c r="G131" s="10">
        <v>188268.37339999998</v>
      </c>
      <c r="H131" s="10">
        <v>133295.8848</v>
      </c>
      <c r="I131" s="10">
        <v>122981.45949999998</v>
      </c>
      <c r="J131" s="10">
        <v>18360</v>
      </c>
      <c r="K131" s="10">
        <v>36612.488599999982</v>
      </c>
      <c r="L131" s="1"/>
    </row>
    <row r="132" spans="1:12" ht="13.4" customHeight="1">
      <c r="A132" s="1"/>
      <c r="B132" s="1"/>
      <c r="C132" s="1" t="s">
        <v>30</v>
      </c>
      <c r="D132" s="1" t="s">
        <v>274</v>
      </c>
      <c r="E132" s="1" t="s">
        <v>276</v>
      </c>
      <c r="F132" s="1">
        <v>2718</v>
      </c>
      <c r="G132" s="10">
        <v>50334.098399999995</v>
      </c>
      <c r="H132" s="10">
        <v>34769.1996</v>
      </c>
      <c r="I132" s="10">
        <v>27163.4202</v>
      </c>
      <c r="J132" s="10">
        <v>18360</v>
      </c>
      <c r="K132" s="10">
        <v>-2795.1012000000046</v>
      </c>
      <c r="L132" s="1"/>
    </row>
    <row r="133" spans="1:12" ht="13.4" customHeight="1">
      <c r="A133" s="1"/>
      <c r="B133" s="1"/>
      <c r="C133" s="1" t="s">
        <v>30</v>
      </c>
      <c r="D133" s="1" t="s">
        <v>274</v>
      </c>
      <c r="E133" s="1" t="s">
        <v>277</v>
      </c>
      <c r="F133" s="1">
        <v>2516</v>
      </c>
      <c r="G133" s="10">
        <v>112026.91279999999</v>
      </c>
      <c r="H133" s="10">
        <v>68223.101200000005</v>
      </c>
      <c r="I133" s="10">
        <v>57901.714399999997</v>
      </c>
      <c r="J133" s="10">
        <v>18360</v>
      </c>
      <c r="K133" s="10">
        <v>25443.811599999986</v>
      </c>
      <c r="L133" s="1"/>
    </row>
    <row r="134" spans="1:12" ht="13.4" customHeight="1">
      <c r="A134" s="1"/>
      <c r="B134" s="1"/>
      <c r="C134" s="1" t="s">
        <v>30</v>
      </c>
      <c r="D134" s="1" t="s">
        <v>278</v>
      </c>
      <c r="E134" s="1" t="s">
        <v>275</v>
      </c>
      <c r="F134" s="1">
        <v>1725</v>
      </c>
      <c r="G134" s="10">
        <v>168142.30499999999</v>
      </c>
      <c r="H134" s="10">
        <v>120113.82</v>
      </c>
      <c r="I134" s="10">
        <v>110819.3475</v>
      </c>
      <c r="J134" s="10">
        <v>18360</v>
      </c>
      <c r="K134" s="10">
        <v>29668.484999999986</v>
      </c>
      <c r="L134" s="1"/>
    </row>
    <row r="135" spans="1:12" ht="13.4" customHeight="1">
      <c r="A135" s="1"/>
      <c r="B135" s="1"/>
      <c r="C135" s="1" t="s">
        <v>30</v>
      </c>
      <c r="D135" s="1" t="s">
        <v>278</v>
      </c>
      <c r="E135" s="1" t="s">
        <v>276</v>
      </c>
      <c r="F135" s="1">
        <v>2482</v>
      </c>
      <c r="G135" s="10">
        <v>46807.541599999997</v>
      </c>
      <c r="H135" s="10">
        <v>31319.116999999998</v>
      </c>
      <c r="I135" s="10">
        <v>24468.0524</v>
      </c>
      <c r="J135" s="10">
        <v>18360</v>
      </c>
      <c r="K135" s="10">
        <v>-2871.5754000000015</v>
      </c>
      <c r="L135" s="1"/>
    </row>
    <row r="136" spans="1:12" ht="13.4" customHeight="1">
      <c r="A136" s="1"/>
      <c r="B136" s="1"/>
      <c r="C136" s="1" t="s">
        <v>30</v>
      </c>
      <c r="D136" s="1" t="s">
        <v>278</v>
      </c>
      <c r="E136" s="1" t="s">
        <v>277</v>
      </c>
      <c r="F136" s="1">
        <v>2075</v>
      </c>
      <c r="G136" s="10">
        <v>90696.797500000001</v>
      </c>
      <c r="H136" s="10">
        <v>56778.64</v>
      </c>
      <c r="I136" s="10">
        <v>48188.555</v>
      </c>
      <c r="J136" s="10">
        <v>18360</v>
      </c>
      <c r="K136" s="10">
        <v>15558.157500000001</v>
      </c>
      <c r="L136" s="1"/>
    </row>
    <row r="137" spans="1:12" ht="13.4" customHeight="1">
      <c r="A137" s="1"/>
      <c r="B137" s="1"/>
      <c r="C137" s="1" t="s">
        <v>30</v>
      </c>
      <c r="D137" s="1" t="s">
        <v>279</v>
      </c>
      <c r="E137" s="1" t="s">
        <v>275</v>
      </c>
      <c r="F137" s="1">
        <v>2081</v>
      </c>
      <c r="G137" s="10">
        <v>199631.7867</v>
      </c>
      <c r="H137" s="10">
        <v>144129.4357</v>
      </c>
      <c r="I137" s="10">
        <v>132976.52429999999</v>
      </c>
      <c r="J137" s="10">
        <v>18360</v>
      </c>
      <c r="K137" s="10">
        <v>37142.350999999995</v>
      </c>
      <c r="L137" s="1"/>
    </row>
    <row r="138" spans="1:12" ht="13.4" customHeight="1">
      <c r="A138" s="1"/>
      <c r="B138" s="1"/>
      <c r="C138" s="1" t="s">
        <v>30</v>
      </c>
      <c r="D138" s="1" t="s">
        <v>279</v>
      </c>
      <c r="E138" s="1" t="s">
        <v>276</v>
      </c>
      <c r="F138" s="1">
        <v>2834</v>
      </c>
      <c r="G138" s="10">
        <v>55421.704000000005</v>
      </c>
      <c r="H138" s="10">
        <v>37822.847399999999</v>
      </c>
      <c r="I138" s="10">
        <v>29548.984400000005</v>
      </c>
      <c r="J138" s="10">
        <v>18360</v>
      </c>
      <c r="K138" s="10">
        <v>-761.14339999999356</v>
      </c>
      <c r="L138" s="1"/>
    </row>
    <row r="139" spans="1:12" ht="13.4" customHeight="1">
      <c r="A139" s="1"/>
      <c r="B139" s="1"/>
      <c r="C139" s="1" t="s">
        <v>30</v>
      </c>
      <c r="D139" s="1" t="s">
        <v>279</v>
      </c>
      <c r="E139" s="1" t="s">
        <v>277</v>
      </c>
      <c r="F139" s="1">
        <v>2463</v>
      </c>
      <c r="G139" s="10">
        <v>108528.6468</v>
      </c>
      <c r="H139" s="10">
        <v>66291.152399999992</v>
      </c>
      <c r="I139" s="10">
        <v>56261.816400000003</v>
      </c>
      <c r="J139" s="10">
        <v>18360</v>
      </c>
      <c r="K139" s="10">
        <v>23877.494400000011</v>
      </c>
      <c r="L139" s="1"/>
    </row>
    <row r="140" spans="1:12" ht="13.4" customHeight="1">
      <c r="A140" s="1"/>
      <c r="B140" s="1"/>
      <c r="C140" s="1" t="s">
        <v>31</v>
      </c>
      <c r="D140" s="1" t="s">
        <v>274</v>
      </c>
      <c r="E140" s="1" t="s">
        <v>275</v>
      </c>
      <c r="F140" s="1">
        <v>1831</v>
      </c>
      <c r="G140" s="10">
        <v>169793.02439999999</v>
      </c>
      <c r="H140" s="10">
        <v>122527.7735</v>
      </c>
      <c r="I140" s="10">
        <v>113046.48929999999</v>
      </c>
      <c r="J140" s="10">
        <v>18450</v>
      </c>
      <c r="K140" s="10">
        <v>28815.250899999999</v>
      </c>
      <c r="L140" s="1"/>
    </row>
    <row r="141" spans="1:12" ht="13.4" customHeight="1">
      <c r="A141" s="1"/>
      <c r="B141" s="1"/>
      <c r="C141" s="1" t="s">
        <v>31</v>
      </c>
      <c r="D141" s="1" t="s">
        <v>274</v>
      </c>
      <c r="E141" s="1" t="s">
        <v>276</v>
      </c>
      <c r="F141" s="1">
        <v>2644</v>
      </c>
      <c r="G141" s="10">
        <v>50879.814000000006</v>
      </c>
      <c r="H141" s="10">
        <v>33556.326000000001</v>
      </c>
      <c r="I141" s="10">
        <v>26216.053200000002</v>
      </c>
      <c r="J141" s="10">
        <v>18450</v>
      </c>
      <c r="K141" s="10">
        <v>-1126.5119999999952</v>
      </c>
      <c r="L141" s="1"/>
    </row>
    <row r="142" spans="1:12" ht="13.4" customHeight="1">
      <c r="A142" s="1"/>
      <c r="B142" s="1"/>
      <c r="C142" s="1" t="s">
        <v>31</v>
      </c>
      <c r="D142" s="1" t="s">
        <v>274</v>
      </c>
      <c r="E142" s="1" t="s">
        <v>277</v>
      </c>
      <c r="F142" s="1">
        <v>2310</v>
      </c>
      <c r="G142" s="10">
        <v>104297.193</v>
      </c>
      <c r="H142" s="10">
        <v>61423.593000000001</v>
      </c>
      <c r="I142" s="10">
        <v>52130.693999999996</v>
      </c>
      <c r="J142" s="10">
        <v>18450</v>
      </c>
      <c r="K142" s="10">
        <v>24423.599999999999</v>
      </c>
      <c r="L142" s="1"/>
    </row>
    <row r="143" spans="1:12" ht="13.4" customHeight="1">
      <c r="A143" s="1"/>
      <c r="B143" s="1"/>
      <c r="C143" s="1" t="s">
        <v>31</v>
      </c>
      <c r="D143" s="1" t="s">
        <v>278</v>
      </c>
      <c r="E143" s="1" t="s">
        <v>275</v>
      </c>
      <c r="F143" s="1">
        <v>1672</v>
      </c>
      <c r="G143" s="10">
        <v>155629.59279999998</v>
      </c>
      <c r="H143" s="10">
        <v>114472.30959999999</v>
      </c>
      <c r="I143" s="10">
        <v>105614.22080000001</v>
      </c>
      <c r="J143" s="10">
        <v>18450</v>
      </c>
      <c r="K143" s="10">
        <v>22707.283199999991</v>
      </c>
      <c r="L143" s="1"/>
    </row>
    <row r="144" spans="1:12" ht="13.4" customHeight="1">
      <c r="A144" s="1"/>
      <c r="B144" s="1"/>
      <c r="C144" s="1" t="s">
        <v>31</v>
      </c>
      <c r="D144" s="1" t="s">
        <v>278</v>
      </c>
      <c r="E144" s="1" t="s">
        <v>276</v>
      </c>
      <c r="F144" s="1">
        <v>2665</v>
      </c>
      <c r="G144" s="10">
        <v>51415.845000000001</v>
      </c>
      <c r="H144" s="10">
        <v>33910.525999999998</v>
      </c>
      <c r="I144" s="10">
        <v>26492.498499999998</v>
      </c>
      <c r="J144" s="10">
        <v>18450</v>
      </c>
      <c r="K144" s="10">
        <v>-944.68099999999686</v>
      </c>
      <c r="L144" s="1"/>
    </row>
    <row r="145" spans="1:12" ht="13.4" customHeight="1">
      <c r="A145" s="1"/>
      <c r="B145" s="1"/>
      <c r="C145" s="1" t="s">
        <v>31</v>
      </c>
      <c r="D145" s="1" t="s">
        <v>278</v>
      </c>
      <c r="E145" s="1" t="s">
        <v>277</v>
      </c>
      <c r="F145" s="1">
        <v>2224</v>
      </c>
      <c r="G145" s="10">
        <v>97362.939200000008</v>
      </c>
      <c r="H145" s="10">
        <v>62956.324800000002</v>
      </c>
      <c r="I145" s="10">
        <v>53431.599999999991</v>
      </c>
      <c r="J145" s="10">
        <v>18450</v>
      </c>
      <c r="K145" s="10">
        <v>15956.614400000006</v>
      </c>
      <c r="L145" s="1"/>
    </row>
    <row r="146" spans="1:12" ht="13.4" customHeight="1">
      <c r="A146" s="1"/>
      <c r="B146" s="1"/>
      <c r="C146" s="1" t="s">
        <v>31</v>
      </c>
      <c r="D146" s="1" t="s">
        <v>279</v>
      </c>
      <c r="E146" s="1" t="s">
        <v>275</v>
      </c>
      <c r="F146" s="1">
        <v>2197</v>
      </c>
      <c r="G146" s="10">
        <v>209677.06630000001</v>
      </c>
      <c r="H146" s="10">
        <v>147009.17920000001</v>
      </c>
      <c r="I146" s="10">
        <v>135633.5526</v>
      </c>
      <c r="J146" s="10">
        <v>18450</v>
      </c>
      <c r="K146" s="10">
        <v>44217.887099999993</v>
      </c>
      <c r="L146" s="1"/>
    </row>
    <row r="147" spans="1:12" ht="13.4" customHeight="1">
      <c r="A147" s="1"/>
      <c r="B147" s="1"/>
      <c r="C147" s="1" t="s">
        <v>31</v>
      </c>
      <c r="D147" s="1" t="s">
        <v>279</v>
      </c>
      <c r="E147" s="1" t="s">
        <v>276</v>
      </c>
      <c r="F147" s="1">
        <v>3009</v>
      </c>
      <c r="G147" s="10">
        <v>56091.06990000001</v>
      </c>
      <c r="H147" s="10">
        <v>38944.2834</v>
      </c>
      <c r="I147" s="10">
        <v>30425.202600000001</v>
      </c>
      <c r="J147" s="10">
        <v>18450</v>
      </c>
      <c r="K147" s="10">
        <v>-1303.2134999999907</v>
      </c>
      <c r="L147" s="1"/>
    </row>
    <row r="148" spans="1:12" ht="13.4" customHeight="1">
      <c r="A148" s="1"/>
      <c r="B148" s="1"/>
      <c r="C148" s="1" t="s">
        <v>31</v>
      </c>
      <c r="D148" s="1" t="s">
        <v>279</v>
      </c>
      <c r="E148" s="1" t="s">
        <v>277</v>
      </c>
      <c r="F148" s="1">
        <v>2561</v>
      </c>
      <c r="G148" s="10">
        <v>109865.3634</v>
      </c>
      <c r="H148" s="10">
        <v>72098.040300000008</v>
      </c>
      <c r="I148" s="10">
        <v>61190.229100000004</v>
      </c>
      <c r="J148" s="10">
        <v>18450</v>
      </c>
      <c r="K148" s="10">
        <v>19317.323099999994</v>
      </c>
      <c r="L148" s="1"/>
    </row>
    <row r="149" spans="1:12" ht="13.4" customHeight="1">
      <c r="A149" s="1"/>
      <c r="B149" s="1"/>
      <c r="C149" s="1" t="s">
        <v>32</v>
      </c>
      <c r="D149" s="1" t="s">
        <v>274</v>
      </c>
      <c r="E149" s="1" t="s">
        <v>275</v>
      </c>
      <c r="F149" s="1">
        <v>2150</v>
      </c>
      <c r="G149" s="10">
        <v>206442.57</v>
      </c>
      <c r="H149" s="10">
        <v>152535.19</v>
      </c>
      <c r="I149" s="10">
        <v>140731.905</v>
      </c>
      <c r="J149" s="10">
        <v>18540</v>
      </c>
      <c r="K149" s="10">
        <v>35367.380000000005</v>
      </c>
      <c r="L149" s="1"/>
    </row>
    <row r="150" spans="1:12" ht="13.4" customHeight="1">
      <c r="A150" s="1"/>
      <c r="B150" s="1"/>
      <c r="C150" s="1" t="s">
        <v>32</v>
      </c>
      <c r="D150" s="1" t="s">
        <v>274</v>
      </c>
      <c r="E150" s="1" t="s">
        <v>276</v>
      </c>
      <c r="F150" s="1">
        <v>2694</v>
      </c>
      <c r="G150" s="10">
        <v>52464.841799999995</v>
      </c>
      <c r="H150" s="10">
        <v>35227.013400000003</v>
      </c>
      <c r="I150" s="10">
        <v>27521.095799999999</v>
      </c>
      <c r="J150" s="10">
        <v>18540</v>
      </c>
      <c r="K150" s="10">
        <v>-1302.1716000000088</v>
      </c>
      <c r="L150" s="1"/>
    </row>
    <row r="151" spans="1:12" ht="13.4" customHeight="1">
      <c r="A151" s="1"/>
      <c r="B151" s="1"/>
      <c r="C151" s="1" t="s">
        <v>32</v>
      </c>
      <c r="D151" s="1" t="s">
        <v>274</v>
      </c>
      <c r="E151" s="1" t="s">
        <v>277</v>
      </c>
      <c r="F151" s="1">
        <v>2510</v>
      </c>
      <c r="G151" s="10">
        <v>111740.682</v>
      </c>
      <c r="H151" s="10">
        <v>70479.042999999991</v>
      </c>
      <c r="I151" s="10">
        <v>59816.311999999998</v>
      </c>
      <c r="J151" s="10">
        <v>18540</v>
      </c>
      <c r="K151" s="10">
        <v>22721.63900000001</v>
      </c>
      <c r="L151" s="1"/>
    </row>
    <row r="152" spans="1:12" ht="13.4" customHeight="1">
      <c r="A152" s="1"/>
      <c r="B152" s="1"/>
      <c r="C152" s="1" t="s">
        <v>32</v>
      </c>
      <c r="D152" s="1" t="s">
        <v>278</v>
      </c>
      <c r="E152" s="1" t="s">
        <v>275</v>
      </c>
      <c r="F152" s="1">
        <v>1674</v>
      </c>
      <c r="G152" s="10">
        <v>164230.78320000001</v>
      </c>
      <c r="H152" s="10">
        <v>114633.1764</v>
      </c>
      <c r="I152" s="10">
        <v>105762.6504</v>
      </c>
      <c r="J152" s="10">
        <v>18540</v>
      </c>
      <c r="K152" s="10">
        <v>31057.606800000009</v>
      </c>
      <c r="L152" s="1"/>
    </row>
    <row r="153" spans="1:12" ht="13.4" customHeight="1">
      <c r="A153" s="1"/>
      <c r="B153" s="1"/>
      <c r="C153" s="1" t="s">
        <v>32</v>
      </c>
      <c r="D153" s="1" t="s">
        <v>278</v>
      </c>
      <c r="E153" s="1" t="s">
        <v>276</v>
      </c>
      <c r="F153" s="1">
        <v>2511</v>
      </c>
      <c r="G153" s="10">
        <v>48816.602099999996</v>
      </c>
      <c r="H153" s="10">
        <v>33161.0193</v>
      </c>
      <c r="I153" s="10">
        <v>25906.991399999999</v>
      </c>
      <c r="J153" s="10">
        <v>18540</v>
      </c>
      <c r="K153" s="10">
        <v>-2884.4172000000035</v>
      </c>
      <c r="L153" s="1"/>
    </row>
    <row r="154" spans="1:12" ht="13.4" customHeight="1">
      <c r="A154" s="1"/>
      <c r="B154" s="1"/>
      <c r="C154" s="1" t="s">
        <v>32</v>
      </c>
      <c r="D154" s="1" t="s">
        <v>278</v>
      </c>
      <c r="E154" s="1" t="s">
        <v>277</v>
      </c>
      <c r="F154" s="1">
        <v>1963</v>
      </c>
      <c r="G154" s="10">
        <v>85486.883300000016</v>
      </c>
      <c r="H154" s="10">
        <v>55703.265800000001</v>
      </c>
      <c r="I154" s="10">
        <v>47275.910499999998</v>
      </c>
      <c r="J154" s="10">
        <v>18540</v>
      </c>
      <c r="K154" s="10">
        <v>11243.617500000015</v>
      </c>
      <c r="L154" s="1"/>
    </row>
    <row r="155" spans="1:12" ht="13.4" customHeight="1">
      <c r="A155" s="1"/>
      <c r="B155" s="1"/>
      <c r="C155" s="1" t="s">
        <v>32</v>
      </c>
      <c r="D155" s="1" t="s">
        <v>279</v>
      </c>
      <c r="E155" s="1" t="s">
        <v>275</v>
      </c>
      <c r="F155" s="1">
        <v>2285</v>
      </c>
      <c r="G155" s="10">
        <v>221354.80500000002</v>
      </c>
      <c r="H155" s="10">
        <v>155908.52050000001</v>
      </c>
      <c r="I155" s="10">
        <v>143844.17750000002</v>
      </c>
      <c r="J155" s="10">
        <v>18540</v>
      </c>
      <c r="K155" s="10">
        <v>46906.284500000009</v>
      </c>
      <c r="L155" s="1"/>
    </row>
    <row r="156" spans="1:12" ht="13.4" customHeight="1">
      <c r="A156" s="1"/>
      <c r="B156" s="1"/>
      <c r="C156" s="1" t="s">
        <v>32</v>
      </c>
      <c r="D156" s="1" t="s">
        <v>279</v>
      </c>
      <c r="E156" s="1" t="s">
        <v>276</v>
      </c>
      <c r="F156" s="1">
        <v>3007</v>
      </c>
      <c r="G156" s="10">
        <v>57489.6302</v>
      </c>
      <c r="H156" s="10">
        <v>39577.833299999998</v>
      </c>
      <c r="I156" s="10">
        <v>30920.0789</v>
      </c>
      <c r="J156" s="10">
        <v>18540</v>
      </c>
      <c r="K156" s="10">
        <v>-628.20309999999881</v>
      </c>
      <c r="L156" s="1"/>
    </row>
    <row r="157" spans="1:12" ht="13.4" customHeight="1">
      <c r="A157" s="1"/>
      <c r="B157" s="1"/>
      <c r="C157" s="1" t="s">
        <v>32</v>
      </c>
      <c r="D157" s="1" t="s">
        <v>279</v>
      </c>
      <c r="E157" s="1" t="s">
        <v>277</v>
      </c>
      <c r="F157" s="1">
        <v>2357</v>
      </c>
      <c r="G157" s="10">
        <v>102632.73659999999</v>
      </c>
      <c r="H157" s="10">
        <v>65740.029800000004</v>
      </c>
      <c r="I157" s="10">
        <v>55793.961200000005</v>
      </c>
      <c r="J157" s="10">
        <v>18540</v>
      </c>
      <c r="K157" s="10">
        <v>18352.706799999985</v>
      </c>
      <c r="L157" s="1"/>
    </row>
    <row r="158" spans="1:12" ht="13.4" customHeight="1">
      <c r="A158" s="1"/>
      <c r="B158" s="1"/>
      <c r="C158" s="1" t="s">
        <v>33</v>
      </c>
      <c r="D158" s="1" t="s">
        <v>274</v>
      </c>
      <c r="E158" s="1" t="s">
        <v>275</v>
      </c>
      <c r="F158" s="1">
        <v>2036</v>
      </c>
      <c r="G158" s="10">
        <v>189269.614</v>
      </c>
      <c r="H158" s="10">
        <v>138138.93520000001</v>
      </c>
      <c r="I158" s="10">
        <v>127449.52800000001</v>
      </c>
      <c r="J158" s="10">
        <v>18360</v>
      </c>
      <c r="K158" s="10">
        <v>32770.678799999994</v>
      </c>
      <c r="L158" s="1"/>
    </row>
    <row r="159" spans="1:12" ht="13.4" customHeight="1">
      <c r="A159" s="1"/>
      <c r="B159" s="1"/>
      <c r="C159" s="1" t="s">
        <v>33</v>
      </c>
      <c r="D159" s="1" t="s">
        <v>274</v>
      </c>
      <c r="E159" s="1" t="s">
        <v>276</v>
      </c>
      <c r="F159" s="1">
        <v>2647</v>
      </c>
      <c r="G159" s="10">
        <v>51775.849399999992</v>
      </c>
      <c r="H159" s="10">
        <v>34716.728500000005</v>
      </c>
      <c r="I159" s="10">
        <v>27122.485499999999</v>
      </c>
      <c r="J159" s="10">
        <v>18360</v>
      </c>
      <c r="K159" s="10">
        <v>-1300.8791000000128</v>
      </c>
      <c r="L159" s="1"/>
    </row>
    <row r="160" spans="1:12" ht="13.4" customHeight="1">
      <c r="A160" s="1"/>
      <c r="B160" s="1"/>
      <c r="C160" s="1" t="s">
        <v>33</v>
      </c>
      <c r="D160" s="1" t="s">
        <v>274</v>
      </c>
      <c r="E160" s="1" t="s">
        <v>277</v>
      </c>
      <c r="F160" s="1">
        <v>2343</v>
      </c>
      <c r="G160" s="10">
        <v>103076.06760000001</v>
      </c>
      <c r="H160" s="10">
        <v>63024.1227</v>
      </c>
      <c r="I160" s="10">
        <v>53489.284200000002</v>
      </c>
      <c r="J160" s="10">
        <v>18360</v>
      </c>
      <c r="K160" s="10">
        <v>21691.94490000001</v>
      </c>
      <c r="L160" s="1"/>
    </row>
    <row r="161" spans="1:12" ht="13.4" customHeight="1">
      <c r="A161" s="1"/>
      <c r="B161" s="1"/>
      <c r="C161" s="1" t="s">
        <v>33</v>
      </c>
      <c r="D161" s="1" t="s">
        <v>278</v>
      </c>
      <c r="E161" s="1" t="s">
        <v>275</v>
      </c>
      <c r="F161" s="1">
        <v>1711</v>
      </c>
      <c r="G161" s="10">
        <v>159187.67580000003</v>
      </c>
      <c r="H161" s="10">
        <v>114897.24310000001</v>
      </c>
      <c r="I161" s="10">
        <v>106006.3738</v>
      </c>
      <c r="J161" s="10">
        <v>18360</v>
      </c>
      <c r="K161" s="10">
        <v>25930.432700000019</v>
      </c>
      <c r="L161" s="1"/>
    </row>
    <row r="162" spans="1:12" ht="13.4" customHeight="1">
      <c r="A162" s="1"/>
      <c r="B162" s="1"/>
      <c r="C162" s="1" t="s">
        <v>33</v>
      </c>
      <c r="D162" s="1" t="s">
        <v>278</v>
      </c>
      <c r="E162" s="1" t="s">
        <v>276</v>
      </c>
      <c r="F162" s="1">
        <v>2344</v>
      </c>
      <c r="G162" s="10">
        <v>44031.102400000003</v>
      </c>
      <c r="H162" s="10">
        <v>31022.839999999997</v>
      </c>
      <c r="I162" s="10">
        <v>24236.725599999998</v>
      </c>
      <c r="J162" s="10">
        <v>18360</v>
      </c>
      <c r="K162" s="10">
        <v>-5351.7375999999931</v>
      </c>
      <c r="L162" s="1"/>
    </row>
    <row r="163" spans="1:12" ht="13.4" customHeight="1">
      <c r="A163" s="1"/>
      <c r="B163" s="1"/>
      <c r="C163" s="1" t="s">
        <v>33</v>
      </c>
      <c r="D163" s="1" t="s">
        <v>278</v>
      </c>
      <c r="E163" s="1" t="s">
        <v>277</v>
      </c>
      <c r="F163" s="1">
        <v>2062</v>
      </c>
      <c r="G163" s="10">
        <v>90185.900200000004</v>
      </c>
      <c r="H163" s="10">
        <v>57048.735399999998</v>
      </c>
      <c r="I163" s="10">
        <v>48417.822</v>
      </c>
      <c r="J163" s="10">
        <v>18360</v>
      </c>
      <c r="K163" s="10">
        <v>14777.164800000006</v>
      </c>
      <c r="L163" s="1"/>
    </row>
    <row r="164" spans="1:12" ht="13.4" customHeight="1">
      <c r="A164" s="1"/>
      <c r="B164" s="1"/>
      <c r="C164" s="1" t="s">
        <v>33</v>
      </c>
      <c r="D164" s="1" t="s">
        <v>279</v>
      </c>
      <c r="E164" s="1" t="s">
        <v>275</v>
      </c>
      <c r="F164" s="1">
        <v>2197</v>
      </c>
      <c r="G164" s="10">
        <v>214260.228</v>
      </c>
      <c r="H164" s="10">
        <v>153555.14069999999</v>
      </c>
      <c r="I164" s="10">
        <v>141672.88589999999</v>
      </c>
      <c r="J164" s="10">
        <v>18360</v>
      </c>
      <c r="K164" s="10">
        <v>42345.087300000014</v>
      </c>
      <c r="L164" s="1"/>
    </row>
    <row r="165" spans="1:12" ht="13.4" customHeight="1">
      <c r="A165" s="1"/>
      <c r="B165" s="1"/>
      <c r="C165" s="1" t="s">
        <v>33</v>
      </c>
      <c r="D165" s="1" t="s">
        <v>279</v>
      </c>
      <c r="E165" s="1" t="s">
        <v>276</v>
      </c>
      <c r="F165" s="1">
        <v>3000</v>
      </c>
      <c r="G165" s="10">
        <v>58503</v>
      </c>
      <c r="H165" s="10">
        <v>40551.9</v>
      </c>
      <c r="I165" s="10">
        <v>31681.199999999997</v>
      </c>
      <c r="J165" s="10">
        <v>18360</v>
      </c>
      <c r="K165" s="10">
        <v>-408.90000000000146</v>
      </c>
      <c r="L165" s="1"/>
    </row>
    <row r="166" spans="1:12" ht="13.4" customHeight="1">
      <c r="A166" s="1"/>
      <c r="B166" s="1"/>
      <c r="C166" s="1" t="s">
        <v>33</v>
      </c>
      <c r="D166" s="1" t="s">
        <v>279</v>
      </c>
      <c r="E166" s="1" t="s">
        <v>277</v>
      </c>
      <c r="F166" s="1">
        <v>2419</v>
      </c>
      <c r="G166" s="10">
        <v>103775.8257</v>
      </c>
      <c r="H166" s="10">
        <v>65876.143199999991</v>
      </c>
      <c r="I166" s="10">
        <v>55909.621299999999</v>
      </c>
      <c r="J166" s="10">
        <v>18360</v>
      </c>
      <c r="K166" s="10">
        <v>19539.68250000001</v>
      </c>
      <c r="L166" s="1"/>
    </row>
    <row r="167" spans="1:12" ht="13.4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</row>
    <row r="168" spans="1:12" ht="13.4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</row>
    <row r="169" spans="1:12" ht="13.4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</row>
    <row r="170" spans="1:12" ht="13.4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0"/>
  <sheetViews>
    <sheetView showGridLines="0" workbookViewId="0"/>
  </sheetViews>
  <sheetFormatPr defaultRowHeight="14"/>
  <cols>
    <col min="1" max="2" width="2" customWidth="1"/>
    <col min="3" max="3" width="31" customWidth="1"/>
    <col min="4" max="9" width="14" customWidth="1"/>
  </cols>
  <sheetData>
    <row r="1" spans="1:9" ht="13.4" customHeight="1">
      <c r="A1" s="1"/>
      <c r="B1" s="1"/>
      <c r="C1" s="1"/>
      <c r="D1" s="1"/>
      <c r="E1" s="1"/>
      <c r="F1" s="1"/>
      <c r="G1" s="1"/>
      <c r="H1" s="1"/>
      <c r="I1" s="1"/>
    </row>
    <row r="2" spans="1:9" ht="13.4" customHeight="1">
      <c r="A2" s="1"/>
      <c r="B2" s="1"/>
      <c r="C2" s="2" t="s">
        <v>280</v>
      </c>
      <c r="D2" s="1"/>
      <c r="E2" s="1"/>
      <c r="F2" s="1"/>
      <c r="G2" s="1"/>
      <c r="H2" s="1"/>
      <c r="I2" s="1"/>
    </row>
    <row r="3" spans="1:9" ht="13.4" customHeight="1">
      <c r="A3" s="1"/>
      <c r="B3" s="1"/>
      <c r="C3" s="1" t="s">
        <v>281</v>
      </c>
      <c r="D3" s="1"/>
      <c r="E3" s="1"/>
      <c r="F3" s="1"/>
      <c r="G3" s="1"/>
      <c r="H3" s="1"/>
      <c r="I3" s="1"/>
    </row>
    <row r="4" spans="1:9" ht="16" customHeight="1">
      <c r="A4" s="1"/>
      <c r="B4" s="1"/>
      <c r="C4" s="4" t="s">
        <v>282</v>
      </c>
      <c r="D4" s="4" t="s">
        <v>283</v>
      </c>
      <c r="E4" s="1"/>
      <c r="F4" s="1"/>
      <c r="G4" s="1"/>
      <c r="H4" s="1"/>
      <c r="I4" s="1"/>
    </row>
    <row r="5" spans="1:9" ht="13.4" customHeight="1">
      <c r="A5" s="1"/>
      <c r="B5" s="1"/>
      <c r="C5" s="1" t="s">
        <v>284</v>
      </c>
      <c r="D5" s="15">
        <f>'Variance bridge'!D12</f>
        <v>0</v>
      </c>
      <c r="E5" s="1"/>
      <c r="F5" s="1"/>
      <c r="G5" s="1"/>
      <c r="H5" s="1"/>
      <c r="I5" s="1"/>
    </row>
    <row r="6" spans="1:9" ht="13.4" customHeight="1">
      <c r="A6" s="1"/>
      <c r="B6" s="1"/>
      <c r="C6" s="1" t="s">
        <v>285</v>
      </c>
      <c r="D6" s="15">
        <f>SUM(Forecast!T5:T16)-(SUM(Forecast!L5:L16)-SUM(Forecast!N5:N16)-SUM(Forecast!R5:R16)-SUM(Forecast!S5:S16))</f>
        <v>0</v>
      </c>
      <c r="E6" s="1"/>
      <c r="F6" s="1"/>
      <c r="G6" s="1"/>
      <c r="H6" s="1"/>
      <c r="I6" s="1"/>
    </row>
    <row r="7" spans="1:9" ht="13.4" customHeight="1">
      <c r="A7" s="1"/>
      <c r="B7" s="1"/>
      <c r="C7" s="1" t="s">
        <v>286</v>
      </c>
      <c r="D7" s="15">
        <f>Forecast!V16-Assumptions!D21-SUM(Forecast!T5:T16)</f>
        <v>0</v>
      </c>
      <c r="E7" s="1"/>
      <c r="F7" s="1"/>
      <c r="G7" s="1"/>
      <c r="H7" s="1"/>
      <c r="I7" s="1"/>
    </row>
    <row r="8" spans="1:9" ht="13.4" customHeight="1">
      <c r="A8" s="1"/>
      <c r="B8" s="1"/>
      <c r="C8" s="1" t="s">
        <v>287</v>
      </c>
      <c r="D8" s="15">
        <f>SUM(Actuals!E5:E22)-SUM(Segments!G5:G166)</f>
        <v>0</v>
      </c>
      <c r="E8" s="1"/>
      <c r="F8" s="1"/>
      <c r="G8" s="1"/>
      <c r="H8" s="1"/>
      <c r="I8" s="1"/>
    </row>
    <row r="9" spans="1:9" ht="13.4" customHeight="1">
      <c r="A9" s="1"/>
      <c r="B9" s="1"/>
      <c r="C9" s="1"/>
      <c r="D9" s="1"/>
      <c r="E9" s="1"/>
      <c r="F9" s="1"/>
      <c r="G9" s="1"/>
      <c r="H9" s="1"/>
      <c r="I9" s="1"/>
    </row>
    <row r="10" spans="1:9" ht="13.4" customHeight="1">
      <c r="A10" s="1"/>
      <c r="B10" s="1"/>
      <c r="C10" s="1"/>
      <c r="D10" s="1"/>
      <c r="E10" s="1"/>
      <c r="F10" s="1"/>
      <c r="G10" s="1"/>
      <c r="H10" s="1"/>
      <c r="I10" s="1"/>
    </row>
    <row r="11" spans="1:9" ht="13.4" customHeight="1">
      <c r="A11" s="1"/>
      <c r="B11" s="1"/>
      <c r="C11" s="1"/>
      <c r="D11" s="1"/>
      <c r="E11" s="1"/>
      <c r="F11" s="1"/>
      <c r="G11" s="1"/>
      <c r="H11" s="1"/>
      <c r="I11" s="1"/>
    </row>
    <row r="12" spans="1:9" ht="13.4" customHeight="1">
      <c r="A12" s="1"/>
      <c r="B12" s="1"/>
      <c r="C12" s="1"/>
      <c r="D12" s="1"/>
      <c r="E12" s="1"/>
      <c r="F12" s="1"/>
      <c r="G12" s="1"/>
      <c r="H12" s="1"/>
      <c r="I12" s="1"/>
    </row>
    <row r="13" spans="1:9" ht="13.4" customHeight="1">
      <c r="A13" s="1"/>
      <c r="B13" s="1"/>
      <c r="C13" s="1"/>
      <c r="D13" s="1"/>
      <c r="E13" s="1"/>
      <c r="F13" s="1"/>
      <c r="G13" s="1"/>
      <c r="H13" s="1"/>
      <c r="I13" s="1"/>
    </row>
    <row r="14" spans="1:9" ht="13.4" customHeight="1">
      <c r="A14" s="1"/>
      <c r="B14" s="1"/>
      <c r="C14" s="1"/>
      <c r="D14" s="1"/>
      <c r="E14" s="1"/>
      <c r="F14" s="1"/>
      <c r="G14" s="1"/>
      <c r="H14" s="1"/>
      <c r="I14" s="1"/>
    </row>
    <row r="15" spans="1:9" ht="13.4" customHeight="1">
      <c r="A15" s="1"/>
      <c r="B15" s="1"/>
      <c r="C15" s="1"/>
      <c r="D15" s="1"/>
      <c r="E15" s="1"/>
      <c r="F15" s="1"/>
      <c r="G15" s="1"/>
      <c r="H15" s="1"/>
      <c r="I15" s="1"/>
    </row>
    <row r="16" spans="1:9" ht="13.4" customHeight="1">
      <c r="A16" s="1"/>
      <c r="B16" s="1"/>
      <c r="C16" s="1"/>
      <c r="D16" s="1"/>
      <c r="E16" s="1"/>
      <c r="F16" s="1"/>
      <c r="G16" s="1"/>
      <c r="H16" s="1"/>
      <c r="I16" s="1"/>
    </row>
    <row r="17" spans="1:9" ht="13.4" customHeight="1">
      <c r="A17" s="1"/>
      <c r="B17" s="1"/>
      <c r="C17" s="1"/>
      <c r="D17" s="1"/>
      <c r="E17" s="1"/>
      <c r="F17" s="1"/>
      <c r="G17" s="1"/>
      <c r="H17" s="1"/>
      <c r="I17" s="1"/>
    </row>
    <row r="18" spans="1:9" ht="13.4" customHeight="1">
      <c r="A18" s="1"/>
      <c r="B18" s="1"/>
      <c r="C18" s="1"/>
      <c r="D18" s="1"/>
      <c r="E18" s="1"/>
      <c r="F18" s="1"/>
      <c r="G18" s="1"/>
      <c r="H18" s="1"/>
      <c r="I18" s="1"/>
    </row>
    <row r="19" spans="1:9" ht="13.4" customHeight="1">
      <c r="A19" s="1"/>
      <c r="B19" s="1"/>
      <c r="C19" s="1"/>
      <c r="D19" s="1"/>
      <c r="E19" s="1"/>
      <c r="F19" s="1"/>
      <c r="G19" s="1"/>
      <c r="H19" s="1"/>
      <c r="I19" s="1"/>
    </row>
    <row r="20" spans="1:9" ht="13.4" customHeight="1">
      <c r="A20" s="1"/>
      <c r="B20" s="1"/>
      <c r="C20" s="1"/>
      <c r="D20" s="1"/>
      <c r="E20" s="1"/>
      <c r="F20" s="1"/>
      <c r="G20" s="1"/>
      <c r="H20" s="1"/>
      <c r="I20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CAE1F-1265-4B03-888D-A7C27029D66C}">
  <dimension ref="C2:K26"/>
  <sheetViews>
    <sheetView showGridLines="0" workbookViewId="0"/>
  </sheetViews>
  <sheetFormatPr defaultRowHeight="14"/>
  <cols>
    <col min="3" max="3" width="21.25" bestFit="1" customWidth="1"/>
    <col min="4" max="4" width="15.58203125" bestFit="1" customWidth="1"/>
    <col min="5" max="5" width="12" bestFit="1" customWidth="1"/>
    <col min="6" max="6" width="12.83203125" bestFit="1" customWidth="1"/>
    <col min="7" max="7" width="12" bestFit="1" customWidth="1"/>
    <col min="8" max="8" width="12.83203125" bestFit="1" customWidth="1"/>
    <col min="9" max="9" width="12" bestFit="1" customWidth="1"/>
    <col min="10" max="10" width="17.75" bestFit="1" customWidth="1"/>
    <col min="11" max="11" width="17" bestFit="1" customWidth="1"/>
  </cols>
  <sheetData>
    <row r="2" spans="3:11">
      <c r="C2" s="16" t="s">
        <v>288</v>
      </c>
    </row>
    <row r="3" spans="3:11">
      <c r="C3" s="17" t="s">
        <v>272</v>
      </c>
      <c r="D3" t="s">
        <v>292</v>
      </c>
    </row>
    <row r="5" spans="3:11">
      <c r="D5" s="17" t="s">
        <v>291</v>
      </c>
    </row>
    <row r="6" spans="3:11">
      <c r="D6" t="s">
        <v>275</v>
      </c>
      <c r="F6" t="s">
        <v>276</v>
      </c>
      <c r="H6" t="s">
        <v>277</v>
      </c>
      <c r="J6" t="s">
        <v>294</v>
      </c>
      <c r="K6" t="s">
        <v>295</v>
      </c>
    </row>
    <row r="7" spans="3:11">
      <c r="C7" s="17" t="s">
        <v>289</v>
      </c>
      <c r="D7" t="s">
        <v>293</v>
      </c>
      <c r="E7" t="s">
        <v>296</v>
      </c>
      <c r="F7" t="s">
        <v>293</v>
      </c>
      <c r="G7" t="s">
        <v>296</v>
      </c>
      <c r="H7" t="s">
        <v>293</v>
      </c>
      <c r="I7" t="s">
        <v>296</v>
      </c>
    </row>
    <row r="8" spans="3:11">
      <c r="C8" s="18" t="s">
        <v>16</v>
      </c>
      <c r="D8" s="19">
        <v>466810.40399999998</v>
      </c>
      <c r="E8" s="19">
        <v>63541.791200000007</v>
      </c>
      <c r="F8" s="19">
        <v>137925.69829999999</v>
      </c>
      <c r="G8" s="19">
        <v>-12906.104799999994</v>
      </c>
      <c r="H8" s="19">
        <v>253211.01370000001</v>
      </c>
      <c r="I8" s="19">
        <v>38001.324700000019</v>
      </c>
      <c r="J8" s="19">
        <v>857947.11599999992</v>
      </c>
      <c r="K8" s="19">
        <v>88637.011100000032</v>
      </c>
    </row>
    <row r="9" spans="3:11">
      <c r="C9" s="18" t="s">
        <v>17</v>
      </c>
      <c r="D9" s="19">
        <v>468389.40230000002</v>
      </c>
      <c r="E9" s="19">
        <v>71651.173500000019</v>
      </c>
      <c r="F9" s="19">
        <v>129402.54489999999</v>
      </c>
      <c r="G9" s="19">
        <v>-16615.199500000006</v>
      </c>
      <c r="H9" s="19">
        <v>274754.55459999997</v>
      </c>
      <c r="I9" s="19">
        <v>49673.669600000001</v>
      </c>
      <c r="J9" s="19">
        <v>872546.50179999997</v>
      </c>
      <c r="K9" s="19">
        <v>104709.64360000001</v>
      </c>
    </row>
    <row r="10" spans="3:11">
      <c r="C10" s="18" t="s">
        <v>18</v>
      </c>
      <c r="D10" s="19">
        <v>561719.03729999997</v>
      </c>
      <c r="E10" s="19">
        <v>100519.64659999996</v>
      </c>
      <c r="F10" s="19">
        <v>145452.78720000002</v>
      </c>
      <c r="G10" s="19">
        <v>-12143.203999999998</v>
      </c>
      <c r="H10" s="19">
        <v>287881.43780000001</v>
      </c>
      <c r="I10" s="19">
        <v>51954.690599999994</v>
      </c>
      <c r="J10" s="19">
        <v>995053.26230000006</v>
      </c>
      <c r="K10" s="19">
        <v>140331.13319999995</v>
      </c>
    </row>
    <row r="11" spans="3:11">
      <c r="C11" s="18" t="s">
        <v>19</v>
      </c>
      <c r="D11" s="19">
        <v>520488.12029999995</v>
      </c>
      <c r="E11" s="19">
        <v>76359.963899999988</v>
      </c>
      <c r="F11" s="19">
        <v>151121.64939999999</v>
      </c>
      <c r="G11" s="19">
        <v>-9977.8849000000082</v>
      </c>
      <c r="H11" s="19">
        <v>289920.55989999999</v>
      </c>
      <c r="I11" s="19">
        <v>49168.871099999997</v>
      </c>
      <c r="J11" s="19">
        <v>961530.32959999994</v>
      </c>
      <c r="K11" s="19">
        <v>115550.95009999999</v>
      </c>
    </row>
    <row r="12" spans="3:11">
      <c r="C12" s="18" t="s">
        <v>20</v>
      </c>
      <c r="D12" s="19">
        <v>527049.13660000009</v>
      </c>
      <c r="E12" s="19">
        <v>93688.38410000001</v>
      </c>
      <c r="F12" s="19">
        <v>156235.99160000001</v>
      </c>
      <c r="G12" s="19">
        <v>-3822.6247000000003</v>
      </c>
      <c r="H12" s="19">
        <v>300246.34269999998</v>
      </c>
      <c r="I12" s="19">
        <v>57410.168200000007</v>
      </c>
      <c r="J12" s="19">
        <v>983531.47090000007</v>
      </c>
      <c r="K12" s="19">
        <v>147275.92760000002</v>
      </c>
    </row>
    <row r="13" spans="3:11">
      <c r="C13" s="18" t="s">
        <v>21</v>
      </c>
      <c r="D13" s="19">
        <v>518152.73950000003</v>
      </c>
      <c r="E13" s="19">
        <v>80053.173999999985</v>
      </c>
      <c r="F13" s="19">
        <v>147839.54570000002</v>
      </c>
      <c r="G13" s="19">
        <v>-11251.341800000002</v>
      </c>
      <c r="H13" s="19">
        <v>295949.94949999999</v>
      </c>
      <c r="I13" s="19">
        <v>54862.103500000027</v>
      </c>
      <c r="J13" s="19">
        <v>961942.23470000003</v>
      </c>
      <c r="K13" s="19">
        <v>123663.9357</v>
      </c>
    </row>
    <row r="14" spans="3:11">
      <c r="C14" s="18" t="s">
        <v>22</v>
      </c>
      <c r="D14" s="19">
        <v>540580.07030000002</v>
      </c>
      <c r="E14" s="19">
        <v>85898.994399999996</v>
      </c>
      <c r="F14" s="19">
        <v>145224.01750000002</v>
      </c>
      <c r="G14" s="19">
        <v>-11571.190599999987</v>
      </c>
      <c r="H14" s="19">
        <v>278916.41159999999</v>
      </c>
      <c r="I14" s="19">
        <v>47768.47389999999</v>
      </c>
      <c r="J14" s="19">
        <v>964720.49940000009</v>
      </c>
      <c r="K14" s="19">
        <v>122096.27770000001</v>
      </c>
    </row>
    <row r="15" spans="3:11">
      <c r="C15" s="18" t="s">
        <v>23</v>
      </c>
      <c r="D15" s="19">
        <v>533544.3162</v>
      </c>
      <c r="E15" s="19">
        <v>84871.84189999997</v>
      </c>
      <c r="F15" s="19">
        <v>149987.91899999999</v>
      </c>
      <c r="G15" s="19">
        <v>-8365.0922999999966</v>
      </c>
      <c r="H15" s="19">
        <v>298243.3713</v>
      </c>
      <c r="I15" s="19">
        <v>61009.341</v>
      </c>
      <c r="J15" s="19">
        <v>981775.60649999999</v>
      </c>
      <c r="K15" s="19">
        <v>137516.0906</v>
      </c>
    </row>
    <row r="16" spans="3:11">
      <c r="C16" s="18" t="s">
        <v>24</v>
      </c>
      <c r="D16" s="19">
        <v>524927.93709999998</v>
      </c>
      <c r="E16" s="19">
        <v>84034.800400000036</v>
      </c>
      <c r="F16" s="19">
        <v>144362.44289999999</v>
      </c>
      <c r="G16" s="19">
        <v>-8679.5905000000021</v>
      </c>
      <c r="H16" s="19">
        <v>282594.0857</v>
      </c>
      <c r="I16" s="19">
        <v>54046.464899999992</v>
      </c>
      <c r="J16" s="19">
        <v>951884.46570000006</v>
      </c>
      <c r="K16" s="19">
        <v>129401.67480000002</v>
      </c>
    </row>
    <row r="17" spans="3:11">
      <c r="C17" s="18" t="s">
        <v>25</v>
      </c>
      <c r="D17" s="19">
        <v>541337.67539999995</v>
      </c>
      <c r="E17" s="19">
        <v>87719.885099999956</v>
      </c>
      <c r="F17" s="19">
        <v>148999.11820000003</v>
      </c>
      <c r="G17" s="19">
        <v>-8178.2954999999747</v>
      </c>
      <c r="H17" s="19">
        <v>303639.429</v>
      </c>
      <c r="I17" s="19">
        <v>56013.69739999999</v>
      </c>
      <c r="J17" s="19">
        <v>993976.22259999998</v>
      </c>
      <c r="K17" s="19">
        <v>135555.28699999995</v>
      </c>
    </row>
    <row r="18" spans="3:11">
      <c r="C18" s="18" t="s">
        <v>26</v>
      </c>
      <c r="D18" s="19">
        <v>731306.1827</v>
      </c>
      <c r="E18" s="19">
        <v>154189.59999999998</v>
      </c>
      <c r="F18" s="19">
        <v>204038.7525</v>
      </c>
      <c r="G18" s="19">
        <v>11900.030200000001</v>
      </c>
      <c r="H18" s="19">
        <v>415009.31870000006</v>
      </c>
      <c r="I18" s="19">
        <v>100358.2283</v>
      </c>
      <c r="J18" s="19">
        <v>1350354.2538999999</v>
      </c>
      <c r="K18" s="19">
        <v>266447.85849999997</v>
      </c>
    </row>
    <row r="19" spans="3:11">
      <c r="C19" s="18" t="s">
        <v>27</v>
      </c>
      <c r="D19" s="19">
        <v>706506.07590000005</v>
      </c>
      <c r="E19" s="19">
        <v>128825.77189999999</v>
      </c>
      <c r="F19" s="19">
        <v>201297.14480000001</v>
      </c>
      <c r="G19" s="19">
        <v>5233.1828999999925</v>
      </c>
      <c r="H19" s="19">
        <v>413143.02169999998</v>
      </c>
      <c r="I19" s="19">
        <v>99674.360799999995</v>
      </c>
      <c r="J19" s="19">
        <v>1320946.2424000001</v>
      </c>
      <c r="K19" s="19">
        <v>233733.31559999997</v>
      </c>
    </row>
    <row r="20" spans="3:11">
      <c r="C20" s="18" t="s">
        <v>28</v>
      </c>
      <c r="D20" s="19">
        <v>459146.62199999997</v>
      </c>
      <c r="E20" s="19">
        <v>76454.008099999977</v>
      </c>
      <c r="F20" s="19">
        <v>140958.42810000002</v>
      </c>
      <c r="G20" s="19">
        <v>-12103.476099999993</v>
      </c>
      <c r="H20" s="19">
        <v>293423.15339999995</v>
      </c>
      <c r="I20" s="19">
        <v>58684.010999999977</v>
      </c>
      <c r="J20" s="19">
        <v>893528.20349999995</v>
      </c>
      <c r="K20" s="19">
        <v>123034.54299999996</v>
      </c>
    </row>
    <row r="21" spans="3:11">
      <c r="C21" s="18" t="s">
        <v>29</v>
      </c>
      <c r="D21" s="19">
        <v>531024.7291</v>
      </c>
      <c r="E21" s="19">
        <v>96810.701000000001</v>
      </c>
      <c r="F21" s="19">
        <v>129971.05919999999</v>
      </c>
      <c r="G21" s="19">
        <v>-12457.148100000002</v>
      </c>
      <c r="H21" s="19">
        <v>289414.54340000002</v>
      </c>
      <c r="I21" s="19">
        <v>50525.570500000002</v>
      </c>
      <c r="J21" s="19">
        <v>950410.33169999998</v>
      </c>
      <c r="K21" s="19">
        <v>134879.12339999998</v>
      </c>
    </row>
    <row r="22" spans="3:11">
      <c r="C22" s="18" t="s">
        <v>30</v>
      </c>
      <c r="D22" s="19">
        <v>556042.46509999991</v>
      </c>
      <c r="E22" s="19">
        <v>103423.32459999996</v>
      </c>
      <c r="F22" s="19">
        <v>152563.34399999998</v>
      </c>
      <c r="G22" s="19">
        <v>-6427.82</v>
      </c>
      <c r="H22" s="19">
        <v>311252.35709999996</v>
      </c>
      <c r="I22" s="19">
        <v>64879.463499999998</v>
      </c>
      <c r="J22" s="19">
        <v>1019858.1661999999</v>
      </c>
      <c r="K22" s="19">
        <v>161874.96809999994</v>
      </c>
    </row>
    <row r="23" spans="3:11">
      <c r="C23" s="18" t="s">
        <v>31</v>
      </c>
      <c r="D23" s="19">
        <v>535099.68350000004</v>
      </c>
      <c r="E23" s="19">
        <v>95740.421199999982</v>
      </c>
      <c r="F23" s="19">
        <v>158386.72890000002</v>
      </c>
      <c r="G23" s="19">
        <v>-3374.4064999999828</v>
      </c>
      <c r="H23" s="19">
        <v>311525.49560000002</v>
      </c>
      <c r="I23" s="19">
        <v>59697.537499999999</v>
      </c>
      <c r="J23" s="19">
        <v>1005011.9080000001</v>
      </c>
      <c r="K23" s="19">
        <v>152063.55220000001</v>
      </c>
    </row>
    <row r="24" spans="3:11">
      <c r="C24" s="18" t="s">
        <v>32</v>
      </c>
      <c r="D24" s="19">
        <v>592028.15820000006</v>
      </c>
      <c r="E24" s="19">
        <v>113331.27130000002</v>
      </c>
      <c r="F24" s="19">
        <v>158771.07409999997</v>
      </c>
      <c r="G24" s="19">
        <v>-4814.7919000000111</v>
      </c>
      <c r="H24" s="19">
        <v>299860.30190000002</v>
      </c>
      <c r="I24" s="19">
        <v>52317.96330000001</v>
      </c>
      <c r="J24" s="19">
        <v>1050659.5342000001</v>
      </c>
      <c r="K24" s="19">
        <v>160834.44270000001</v>
      </c>
    </row>
    <row r="25" spans="3:11">
      <c r="C25" s="18" t="s">
        <v>33</v>
      </c>
      <c r="D25" s="19">
        <v>562717.51780000003</v>
      </c>
      <c r="E25" s="19">
        <v>101046.19880000003</v>
      </c>
      <c r="F25" s="19">
        <v>154309.95179999998</v>
      </c>
      <c r="G25" s="19">
        <v>-7061.5167000000074</v>
      </c>
      <c r="H25" s="19">
        <v>297037.79350000003</v>
      </c>
      <c r="I25" s="19">
        <v>56008.792200000025</v>
      </c>
      <c r="J25" s="19">
        <v>1014065.2631</v>
      </c>
      <c r="K25" s="19">
        <v>149993.47430000006</v>
      </c>
    </row>
    <row r="26" spans="3:11">
      <c r="C26" s="18" t="s">
        <v>290</v>
      </c>
      <c r="D26" s="19">
        <v>9876870.2732999977</v>
      </c>
      <c r="E26" s="19">
        <v>1698160.9519999998</v>
      </c>
      <c r="F26" s="19">
        <v>2756848.1980999997</v>
      </c>
      <c r="G26" s="19">
        <v>-132616.4748</v>
      </c>
      <c r="H26" s="19">
        <v>5496023.1410999997</v>
      </c>
      <c r="I26" s="19">
        <v>1062054.7320000001</v>
      </c>
      <c r="J26" s="19">
        <v>18129741.612500001</v>
      </c>
      <c r="K26" s="19">
        <v>2627599.2091999999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Summary</vt:lpstr>
      <vt:lpstr>Assumptions</vt:lpstr>
      <vt:lpstr>Forecast</vt:lpstr>
      <vt:lpstr>Actuals</vt:lpstr>
      <vt:lpstr>Variance bridge</vt:lpstr>
      <vt:lpstr>Segments</vt:lpstr>
      <vt:lpstr>Checks</vt:lpstr>
      <vt:lpstr>Pivot review</vt:lpstr>
      <vt:lpstr>Summary!Print_Area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Daniyal Hayat</cp:lastModifiedBy>
  <cp:lastPrinted>2026-10-22T10:55:30Z</cp:lastPrinted>
  <dcterms:modified xsi:type="dcterms:W3CDTF">2026-10-22T10:55:30Z</dcterms:modified>
</cp:coreProperties>
</file>